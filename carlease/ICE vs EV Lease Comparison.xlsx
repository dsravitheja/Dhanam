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rs" sheetId="3" state="visible" r:id="rId5"/>
    <sheet name="Lease Comparison" sheetId="4" state="visible" r:id="rId6"/>
    <sheet name="Sensitivity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<sst xmlns="http://schemas.openxmlformats.org/spreadsheetml/2006/main" count="219" uniqueCount="151">
  <si>
    <t xml:space="preserve">ICE vs EV — Company Lease Comparison Workbook</t>
  </si>
  <si>
    <t xml:space="preserve">How this workbook is organized</t>
  </si>
  <si>
    <t xml:space="preserve">• Assumptions — every editable input (lease rate, residual %, tax, fuel/electricity cost, driving pattern, maintenance &amp; insurance). Blue cells are yours to change; everything downstream recalculates.</t>
  </si>
  <si>
    <t xml:space="preserve">• Cars — the master list of vehicles. Prefilled rows 5-18 (14 cars). Rows 21-30 are blank — add your own car there (Type, Make &amp; Model, Trim, On-road Price, and Mileage in kmpl for ICE / Efficiency in kWh per 100km for EV). It flows into every calculation automatically, no other sheet needs editing.</t>
  </si>
  <si>
    <t xml:space="preserve">• Lease Comparison — the engine. For every car and every lease tenure (3/4/5 years, 10% interest, 10% residual buyout as you specified) it computes: monthly EMI, total running cost (fuel/energy), maintenance + insurance, tax saved via the CTC carve-out, raw cash outflow, net cost after the tax shield, and cost per km. Rank columns at the far right (AB/AC/AD) show 1 = cheapest for that tenure.</t>
  </si>
  <si>
    <t xml:space="preserve">• Summary — condensed view: on-road price, net cost at 3/4/5 years, and rank, one row per car, for a quick scan.</t>
  </si>
  <si>
    <t xml:space="preserve">What I added beyond your list (flagged so you can remove them if you'd rather not see them)</t>
  </si>
  <si>
    <t xml:space="preserve">• Tata Nexon EV (45kWh) — direct same-model ICE-vs-EV pair with your Nexon Automatic, which is really the cleanest apples-to-apples comparison in this whole set.</t>
  </si>
  <si>
    <t xml:space="preserve">• Maruti e Vitara (Alpha 61kWh) and Kia Syros EV (HTX+ ER 51.4kWh) — both were on your shortlist in earlier sessions and I kept them in for continuity. Syros EV is very newly launched (Jul 2026) with no ownership track record yet — same caveat as before.</t>
  </si>
  <si>
    <t xml:space="preserve">• A raw cash outflow line alongside net cost after tax — so you can see what actually leaves your pocket before the tax-shield adjustment, not just the tax-adjusted number.</t>
  </si>
  <si>
    <t xml:space="preserve">• An EMI-vs-cap check — the EMI cell turns red if it would exceed your ₹60,000/month cap at that tenure.</t>
  </si>
  <si>
    <t xml:space="preserve">• A Sensitivity sheet — for each EV, the annual km at which it overtakes a reference ICE car (Nexon ICE by default, change the row number in cell D4 to compare against any other car) on net cost after tax.</t>
  </si>
  <si>
    <t xml:space="preserve">• An EV annual mileage multiplier on the Assumptions sheet — models driving an EV more than an ICE simply because the running cost feels negligible. Default 1.00 (no effect); set it higher to see the impact.</t>
  </si>
  <si>
    <t xml:space="preserve">Key modeling notes</t>
  </si>
  <si>
    <t xml:space="preserve">• Lease EMI uses the standard balloon-payment formula (Excel PMT with a future value = the residual), since you'll own the car at the end by paying the 10% residual — this is not a plain amortizing loan.</t>
  </si>
  <si>
    <t xml:space="preserve">• Mileage/efficiency figures are real-world estimates (owner reports and derated ARAI/MIDC figures), not brochure numbers — documented per car in the Notes column on the Cars sheet. Treat them as a starting point; swap in your own once you have test-drive or dealer data.</t>
  </si>
  <si>
    <t xml:space="preserve">• Tax saved = marginal rate × (EMI − flat ₹5,000/month perquisite) × months. This is the mechanism we established earlier: the benefit scales with EMI size, so a pricier lease shelters more income.</t>
  </si>
  <si>
    <t xml:space="preserve">• Insurance is modeled as a declining % of on-road price (IDV depreciates 15%/year by default) — EVs carry a higher assumed rate (3.8% vs 3.0%) for battery cover. These rates are estimates; get actual quotes before finalizing.</t>
  </si>
  <si>
    <t xml:space="preserve">• Changing the annual city/highway km on the Assumptions sheet updates every car's running cost, net cost, and cost/km — it's a live input, not a one-off calculation. The EV mileage multiplier (also on Assumptions) lets EVs specifically diverge from that baseline, for an 'I might drive more once it's cheap per km' scenario — that's a genuine, commonly observed behavioral pattern (sometimes called a rebound effect: lower marginal cost nudges usage up), so it's worth exploring even though there's no way to calibrate it precisely to you personally. Try 1.10-1.20 and see how much of the running-cost advantage it eats into.</t>
  </si>
  <si>
    <t xml:space="preserve">• On-road prices for cars other than your two are estimated from ex-showroom + typical state markup — flagged per row. Get dealer quotes for your final shortlist.</t>
  </si>
  <si>
    <t xml:space="preserve">Assumptions</t>
  </si>
  <si>
    <t xml:space="preserve">Blue cells are editable inputs. Every formula in this workbook traces back to a cell on this sheet.</t>
  </si>
  <si>
    <t xml:space="preserve">Lease Terms</t>
  </si>
  <si>
    <t xml:space="preserve">Lease interest rate (p.a.)</t>
  </si>
  <si>
    <t xml:space="preserve">%</t>
  </si>
  <si>
    <t xml:space="preserve">Residual value / buyout (%)</t>
  </si>
  <si>
    <t xml:space="preserve">Tenures modeled: 3, 4 and 5 years — set as fixed column headers on the Lease Comparison sheet.</t>
  </si>
  <si>
    <t xml:space="preserve">Income Tax (new regime)</t>
  </si>
  <si>
    <t xml:space="preserve">Income tax slab rate</t>
  </si>
  <si>
    <t xml:space="preserve">Health &amp; education cess</t>
  </si>
  <si>
    <t xml:space="preserve">Combined marginal rate (computed)</t>
  </si>
  <si>
    <t xml:space="preserve">Motor car perquisite value (flat, FY26 rules)</t>
  </si>
  <si>
    <t xml:space="preserve">₹/month</t>
  </si>
  <si>
    <t xml:space="preserve">Flat regardless of car price — this is why the tax benefit scales with EMI size, not with the car chosen.</t>
  </si>
  <si>
    <t xml:space="preserve">Company EMI cap</t>
  </si>
  <si>
    <t xml:space="preserve">Fuel &amp; Electricity Cost</t>
  </si>
  <si>
    <t xml:space="preserve">Petrol price</t>
  </si>
  <si>
    <t xml:space="preserve">₹/litre</t>
  </si>
  <si>
    <t xml:space="preserve">Hyderabad, Aug 2026</t>
  </si>
  <si>
    <t xml:space="preserve">Home charging cost (blended slab rate)</t>
  </si>
  <si>
    <t xml:space="preserve">₹/unit</t>
  </si>
  <si>
    <t xml:space="preserve">Public fast-charging cost</t>
  </si>
  <si>
    <t xml:space="preserve">Driving Pattern</t>
  </si>
  <si>
    <t xml:space="preserve">Annual city driving</t>
  </si>
  <si>
    <t xml:space="preserve">km</t>
  </si>
  <si>
    <t xml:space="preserve">Annual highway driving</t>
  </si>
  <si>
    <t xml:space="preserve">Total annual km (computed)</t>
  </si>
  <si>
    <t xml:space="preserve">ICE highway mileage multiplier (vs city)</t>
  </si>
  <si>
    <t xml:space="preserve">×</t>
  </si>
  <si>
    <t xml:space="preserve">Highway kmpl assumed 35% better than city, steady-speed running.</t>
  </si>
  <si>
    <t xml:space="preserve">EV highway efficiency multiplier (vs city)</t>
  </si>
  <si>
    <t xml:space="preserve">Highway kWh/100km assumed 15% worse than city — aero drag dominates at speed.</t>
  </si>
  <si>
    <t xml:space="preserve">EV annual mileage multiplier</t>
  </si>
  <si>
    <t xml:space="preserve">Set &gt;1.00 to model driving an EV more than the baseline km above (lower running cost can nudge usage up). E.g. 1.15 = drive 15% more km/year in an EV than in an ICE. Applies to EV rows only — ICE rows always use the baseline city/highway km. Leave at 1.00 for an apples-to-apples comparison.</t>
  </si>
  <si>
    <t xml:space="preserve">Maintenance &amp; Insurance</t>
  </si>
  <si>
    <t xml:space="preserve">ICE annual maintenance</t>
  </si>
  <si>
    <t xml:space="preserve">₹/year</t>
  </si>
  <si>
    <t xml:space="preserve">EV annual maintenance</t>
  </si>
  <si>
    <t xml:space="preserve">ICE insurance rate (% of on-road price, yr 1)</t>
  </si>
  <si>
    <t xml:space="preserve">EV insurance rate (% of on-road price, yr 1)</t>
  </si>
  <si>
    <t xml:space="preserve">Higher than ICE — battery cover pushes up premiums.</t>
  </si>
  <si>
    <t xml:space="preserve">Annual insurance-base (IDV) depreciation rate</t>
  </si>
  <si>
    <t xml:space="preserve">Cars — Master List</t>
  </si>
  <si>
    <t xml:space="preserve">14 prefilled cars below. Rows 21-30 are blank for your own entries — fill Type / Make &amp; Model / Trim / On-road Price / Mileage-Efficiency and the Lease Comparison + Summary sheets pick it up automatically.</t>
  </si>
  <si>
    <t xml:space="preserve">#</t>
  </si>
  <si>
    <t xml:space="preserve">Type</t>
  </si>
  <si>
    <t xml:space="preserve">Make &amp; Model</t>
  </si>
  <si>
    <t xml:space="preserve">Trim</t>
  </si>
  <si>
    <t xml:space="preserve">On-road Price (₹)</t>
  </si>
  <si>
    <t xml:space="preserve">Mileage (kmpl, ICE) /
Efficiency (kWh/100km, EV)</t>
  </si>
  <si>
    <t xml:space="preserve">360°
Camera</t>
  </si>
  <si>
    <t xml:space="preserve">Notes / Source</t>
  </si>
  <si>
    <t xml:space="preserve">ICE</t>
  </si>
  <si>
    <t xml:space="preserve">Tata Nexon</t>
  </si>
  <si>
    <t xml:space="preserve">Petrol Creative DCT (Automatic)</t>
  </si>
  <si>
    <t xml:space="preserve">Y</t>
  </si>
  <si>
    <t xml:space="preserve">Ex-showroom ₹11.25L (Autocar India) + ~17% Telangana on-road markup. Mileage = your real-world city figure on the 2020 manual, applied to the DCT (ARAI DCT is close to manual anyway).</t>
  </si>
  <si>
    <t xml:space="preserve">Hyundai Creta</t>
  </si>
  <si>
    <t xml:space="preserve">SX Tech iVT Petrol (360° cam)</t>
  </si>
  <si>
    <t xml:space="preserve">On-road Delhi ₹19.79L (CarDekho, ARAI 17.7 kmpl). Mileage derated to ~57% of ARAI using the ratio from your own Nexon experience — treat as a rough proxy, not owner data for this car.</t>
  </si>
  <si>
    <t xml:space="preserve">Mahindra XUV 3XO</t>
  </si>
  <si>
    <t xml:space="preserve">AX5L TGDi Automatic</t>
  </si>
  <si>
    <t xml:space="preserve">On-road Delhi ₹17.58L (AckoDrive). Mileage is an actual owner-reported city figure (CarWale review) — one of the few real-world data points in this list.</t>
  </si>
  <si>
    <t xml:space="preserve">AX7L TGDi Automatic (top)</t>
  </si>
  <si>
    <t xml:space="preserve">On-road ~₹17.85L (CarWale upper band). Mileage estimated close to AX5L — same 1.2L turbo-petrol engine and tune, no separate owner data found.</t>
  </si>
  <si>
    <t xml:space="preserve">Honda Elevate</t>
  </si>
  <si>
    <t xml:space="preserve">ZX CVT Automatic (360° cam via Lite Pack)</t>
  </si>
  <si>
    <t xml:space="preserve">On-road Delhi ₹18.65L (CarDekho). Mileage = midpoint of an owner-reported city range of 10-12 kmpl (CarWale review).</t>
  </si>
  <si>
    <t xml:space="preserve">EV</t>
  </si>
  <si>
    <t xml:space="preserve">Tata Curvv EV</t>
  </si>
  <si>
    <t xml:space="preserve">Accomplished X, 55kWh</t>
  </si>
  <si>
    <t xml:space="preserve">Your quoted on-road price. Efficiency estimated from real-world range 380-400km on 55kWh (Cars24).</t>
  </si>
  <si>
    <t xml:space="preserve">Hyundai Creta Electric</t>
  </si>
  <si>
    <t xml:space="preserve">Excellence, 42kWh (360° cam)</t>
  </si>
  <si>
    <t xml:space="preserve">On-road ₹22.50L (91Wheels). Efficiency from real-world city range 300-320km (Cars24).</t>
  </si>
  <si>
    <t xml:space="preserve">Excellence LR, 51.4kWh (360° cam)</t>
  </si>
  <si>
    <t xml:space="preserve">Ex-showroom ₹23.67L (CarDekho) + ~7% on-road estimate (EVs get lower road-tax markup than ICE in most states). Efficiency from real-world range 360-380km (Cars24).</t>
  </si>
  <si>
    <t xml:space="preserve">MG Windsor EV</t>
  </si>
  <si>
    <t xml:space="preserve">Essence Pro, 52.9kWh (360° cam)</t>
  </si>
  <si>
    <t xml:space="preserve">Ex-showroom ~₹18.10-19.00L + ~7% on-road estimate. Efficiency from MG's own reported 400+km real-world range on the 52.9kWh pack.</t>
  </si>
  <si>
    <t xml:space="preserve">Mahindra XUV 3XO EV</t>
  </si>
  <si>
    <t xml:space="preserve">AX7L (top, 360° cam standard)</t>
  </si>
  <si>
    <t xml:space="preserve">On-road Mumbai ₹16.43L (CarWale). Efficiency from Mahindra's own real-world 285km claim on 39.4kWh.</t>
  </si>
  <si>
    <t xml:space="preserve">Tata Sierra EV</t>
  </si>
  <si>
    <t xml:space="preserve">Adventure, 63kWh (360° cam trim)</t>
  </si>
  <si>
    <t xml:space="preserve">Ex-showroom ₹20.99L (CarDekho) + ~5.5% on-road estimate. Efficiency estimated from ARAI 566km derated to ~410km real-world city — brand new launch (Jun 2026), no owner data yet.</t>
  </si>
  <si>
    <t xml:space="preserve">Tata Nexon EV</t>
  </si>
  <si>
    <t xml:space="preserve">Empowered+ A, 45kWh LR (360° cam) — ADDED</t>
  </si>
  <si>
    <t xml:space="preserve">ADDED for a direct same-model ICE-vs-EV comparison against your Nexon Automatic. Ex-showroom ₹17.69L (CarWale) + ~10% on-road estimate. Efficiency from real-world range 310-330km (CarDekho).</t>
  </si>
  <si>
    <t xml:space="preserve">Maruti e Vitara</t>
  </si>
  <si>
    <t xml:space="preserve">Alpha, 61kWh (360° cam, ADAS) — ADDED</t>
  </si>
  <si>
    <t xml:space="preserve">ADDED — carried over from your earlier shortlist for continuity. Ex-showroom ₹19.79L (CarWale) + ~8% on-road estimate. Efficiency estimated from reported highway range 370km; city assumed somewhat better.</t>
  </si>
  <si>
    <t xml:space="preserve">Kia Syros EV</t>
  </si>
  <si>
    <t xml:space="preserve">HTX+ ER, 51.4kWh (360° cam) — ADDED</t>
  </si>
  <si>
    <t xml:space="preserve">ADDED — carried over from your earlier shortlist. Very new launch (Jul 2026), no ownership track record yet. Ex-showroom ~₹18L + ~8% on-road estimate. Efficiency estimated from platform-mate Creta Electric 51.4kWh.</t>
  </si>
  <si>
    <t xml:space="preserve">ADD YOUR OWN CAR BELOW — fill Type (ICE or EV), Make &amp; Model, Trim, On-road Price, and Mileage/Efficiency. Leave 360° Camera and Notes blank if you like; nothing else needs to change.</t>
  </si>
  <si>
    <t xml:space="preserve">Lease Comparison — 3 / 4 / 5 Year Company Lease (10% interest, 10% residual buyout)</t>
  </si>
  <si>
    <t xml:space="preserve">All figures flow from Assumptions + Cars. Rank columns (AB/AC/AD): 1 = cheapest net cost for that tenure.</t>
  </si>
  <si>
    <t xml:space="preserve">3-Year Lease</t>
  </si>
  <si>
    <t xml:space="preserve">4-Year Lease</t>
  </si>
  <si>
    <t xml:space="preserve">5-Year Lease</t>
  </si>
  <si>
    <t xml:space="preserve">Rank by Net Cost (1 = cheapest)</t>
  </si>
  <si>
    <t xml:space="preserve">Car</t>
  </si>
  <si>
    <t xml:space="preserve">Mileage/Efficiency</t>
  </si>
  <si>
    <t xml:space="preserve">Monthly EMI (₹)</t>
  </si>
  <si>
    <t xml:space="preserve">Total Running Cost (₹)</t>
  </si>
  <si>
    <t xml:space="preserve">Total Maint. + Insurance (₹)</t>
  </si>
  <si>
    <t xml:space="preserve">Total Tax Saved (₹)</t>
  </si>
  <si>
    <t xml:space="preserve">Raw Cash Outflow (₹)</t>
  </si>
  <si>
    <t xml:space="preserve">Net Cost After Tax (₹)</t>
  </si>
  <si>
    <t xml:space="preserve">Effective Cost / km (₹)</t>
  </si>
  <si>
    <t xml:space="preserve">3yr</t>
  </si>
  <si>
    <t xml:space="preserve">4yr</t>
  </si>
  <si>
    <t xml:space="preserve">5yr</t>
  </si>
  <si>
    <t xml:space="preserve">Sensitivity — Break-even Annual km (EV vs a reference ICE car)</t>
  </si>
  <si>
    <t xml:space="preserve">For each EV, the annual km (city+highway combined, same 2:1 split as Assumptions) at which its net cost after tax drops below the reference ICE car's — holding both at the SAME annual km. This is independent of the EV mileage multiplier on the Assumptions sheet (that's a separate 'drive more on the EV' scenario — see note below).</t>
  </si>
  <si>
    <t xml:space="preserve">Reference ICE car — row # from Lease Comparison:</t>
  </si>
  <si>
    <t xml:space="preserve">Running Cost Rate (₹/km)</t>
  </si>
  <si>
    <t xml:space="preserve">Breakeven km/yr — 3yr</t>
  </si>
  <si>
    <t xml:space="preserve">Breakeven km/yr — 4yr</t>
  </si>
  <si>
    <t xml:space="preserve">Breakeven km/yr — 5yr</t>
  </si>
  <si>
    <t xml:space="preserve">vs current 12,000 km/yr baseline</t>
  </si>
  <si>
    <t xml:space="preserve">Reading this sheet: change the row number in D4 to compare against a different ICE car. Green cells = that EV already beats the reference ICE at your current 12,000 km/year baseline. This table assumes BOTH cars are driven the same annual km — it answers 'at what usage level does the EV win on its own merits'. The EV annual mileage multiplier on the Assumptions sheet is a different, separate scenario: it lets the EV's actual km diverge from the ICE baseline (e.g. to model driving more once running cost feels negligible) and feeds straight into the Lease Comparison and Summary sheets.</t>
  </si>
  <si>
    <t xml:space="preserve">Summary — Net Cost After Tax by Lease Tenure</t>
  </si>
  <si>
    <t xml:space="preserve">Lower net cost is better. Rank 1 (green, on Lease Comparison) = cheapest for that tenure. Sort this table by any Net Cost column in Excel to reorder.</t>
  </si>
  <si>
    <t xml:space="preserve">3yr Net Cost (₹)</t>
  </si>
  <si>
    <t xml:space="preserve">4yr Net Cost (₹)</t>
  </si>
  <si>
    <t xml:space="preserve">5yr Net Cost (₹)</t>
  </si>
  <si>
    <t xml:space="preserve">Rank 3yr</t>
  </si>
  <si>
    <t xml:space="preserve">Rank 4yr</t>
  </si>
  <si>
    <t xml:space="preserve">Rank 5yr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</si>
</sst>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0%"/>
    <numFmt numFmtId="167" formatCode="\₹#,##0;&quot;(₹&quot;#,##0\);\-"/>
    <numFmt numFmtId="168" formatCode="\₹#,##0.00"/>
    <numFmt numFmtId="169" formatCode="#,##0"/>
    <numFmt numFmtId="170" formatCode="0.00"/>
    <numFmt numFmtId="171" formatCode="0.0"/>
    <numFmt numFmtId="172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.5"/>
      <color rgb="FF595959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C6EFCE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FFFFFF"/>
      </font>
      <fill>
        <patternFill>
          <bgColor rgb="FFC00000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61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19.7" hidden="false" customHeight="false" outlineLevel="0" collapsed="false">
      <c r="A1" s="1" t="s">
        <v>0</v>
      </c>
    </row>
    <row r="3" customFormat="false" ht="19.5" hidden="false" customHeight="true" outlineLevel="0" collapsed="false">
      <c r="A3" s="2" t="s">
        <v>1</v>
      </c>
    </row>
    <row r="4" customFormat="false" ht="33.75" hidden="false" customHeight="true" outlineLevel="0" collapsed="false">
      <c r="A4" s="3" t="s">
        <v>2</v>
      </c>
    </row>
    <row r="5" customFormat="false" ht="33.75" hidden="false" customHeight="true" outlineLevel="0" collapsed="false">
      <c r="A5" s="3" t="s">
        <v>3</v>
      </c>
    </row>
    <row r="6" customFormat="false" ht="33.75" hidden="false" customHeight="true" outlineLevel="0" collapsed="false">
      <c r="A6" s="3" t="s">
        <v>4</v>
      </c>
    </row>
    <row r="7" customFormat="false" ht="33.75" hidden="false" customHeight="true" outlineLevel="0" collapsed="false">
      <c r="A7" s="3" t="s">
        <v>5</v>
      </c>
    </row>
    <row r="8" customFormat="false" ht="7.5" hidden="false" customHeight="true" outlineLevel="0" collapsed="false">
      <c r="A8" s="3"/>
    </row>
    <row r="9" customFormat="false" ht="33.75" hidden="false" customHeight="true" outlineLevel="0" collapsed="false">
      <c r="A9" s="2" t="s">
        <v>6</v>
      </c>
    </row>
    <row r="10" customFormat="false" ht="33.75" hidden="false" customHeight="true" outlineLevel="0" collapsed="false">
      <c r="A10" s="3" t="s">
        <v>7</v>
      </c>
    </row>
    <row r="11" customFormat="false" ht="33.75" hidden="false" customHeight="true" outlineLevel="0" collapsed="false">
      <c r="A11" s="3" t="s">
        <v>8</v>
      </c>
    </row>
    <row r="12" customFormat="false" ht="33.75" hidden="false" customHeight="true" outlineLevel="0" collapsed="false">
      <c r="A12" s="3" t="s">
        <v>9</v>
      </c>
    </row>
    <row r="13" customFormat="false" ht="33.75" hidden="false" customHeight="true" outlineLevel="0" collapsed="false">
      <c r="A13" s="3" t="s">
        <v>10</v>
      </c>
    </row>
    <row r="14" customFormat="false" ht="33.75" hidden="false" customHeight="true" outlineLevel="0" collapsed="false">
      <c r="A14" s="3" t="s">
        <v>11</v>
      </c>
    </row>
    <row r="15" customFormat="false" ht="33.75" hidden="false" customHeight="true" outlineLevel="0" collapsed="false">
      <c r="A15" s="3" t="s">
        <v>12</v>
      </c>
    </row>
    <row r="16" customFormat="false" ht="7.5" hidden="false" customHeight="true" outlineLevel="0" collapsed="false">
      <c r="A16" s="3"/>
    </row>
    <row r="17" customFormat="false" ht="19.5" hidden="false" customHeight="true" outlineLevel="0" collapsed="false">
      <c r="A17" s="2" t="s">
        <v>13</v>
      </c>
    </row>
    <row r="18" customFormat="false" ht="33.75" hidden="false" customHeight="true" outlineLevel="0" collapsed="false">
      <c r="A18" s="3" t="s">
        <v>14</v>
      </c>
    </row>
    <row r="19" customFormat="false" ht="33.75" hidden="false" customHeight="true" outlineLevel="0" collapsed="false">
      <c r="A19" s="3" t="s">
        <v>15</v>
      </c>
    </row>
    <row r="20" customFormat="false" ht="33.75" hidden="false" customHeight="true" outlineLevel="0" collapsed="false">
      <c r="A20" s="3" t="s">
        <v>16</v>
      </c>
    </row>
    <row r="21" customFormat="false" ht="33.75" hidden="false" customHeight="true" outlineLevel="0" collapsed="false">
      <c r="A21" s="3" t="s">
        <v>17</v>
      </c>
    </row>
    <row r="22" customFormat="false" ht="33.75" hidden="false" customHeight="true" outlineLevel="0" collapsed="false">
      <c r="A22" s="3" t="s">
        <v>18</v>
      </c>
    </row>
    <row r="23" customFormat="false" ht="33.75" hidden="false" customHeight="true" outlineLevel="0" collapsed="false">
      <c r="A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55"/>
  </cols>
  <sheetData>
    <row r="1" customFormat="false" ht="24" hidden="false" customHeight="true" outlineLevel="0" collapsed="false">
      <c r="A1" s="4" t="s">
        <v>20</v>
      </c>
      <c r="B1" s="4"/>
      <c r="C1" s="4"/>
      <c r="D1" s="4"/>
    </row>
    <row r="2" customFormat="false" ht="15" hidden="false" customHeight="false" outlineLevel="0" collapsed="false">
      <c r="A2" s="5" t="s">
        <v>21</v>
      </c>
      <c r="B2" s="5"/>
      <c r="C2" s="5"/>
      <c r="D2" s="5"/>
    </row>
    <row r="4" customFormat="false" ht="18" hidden="false" customHeight="true" outlineLevel="0" collapsed="false">
      <c r="A4" s="6" t="s">
        <v>22</v>
      </c>
      <c r="B4" s="6"/>
      <c r="C4" s="6"/>
      <c r="D4" s="6"/>
    </row>
    <row r="5" customFormat="false" ht="15" hidden="false" customHeight="false" outlineLevel="0" collapsed="false">
      <c r="A5" s="7" t="s">
        <v>23</v>
      </c>
      <c r="B5" s="8" t="n">
        <v>0.1</v>
      </c>
      <c r="C5" s="9" t="s">
        <v>24</v>
      </c>
    </row>
    <row r="6" customFormat="false" ht="15" hidden="false" customHeight="false" outlineLevel="0" collapsed="false">
      <c r="A6" s="7" t="s">
        <v>25</v>
      </c>
      <c r="B6" s="8" t="n">
        <v>0.1</v>
      </c>
      <c r="C6" s="9" t="s">
        <v>24</v>
      </c>
    </row>
    <row r="7" customFormat="false" ht="15" hidden="false" customHeight="false" outlineLevel="0" collapsed="false">
      <c r="A7" s="5" t="s">
        <v>26</v>
      </c>
      <c r="B7" s="5"/>
      <c r="C7" s="5"/>
      <c r="D7" s="5"/>
    </row>
    <row r="9" customFormat="false" ht="18" hidden="false" customHeight="true" outlineLevel="0" collapsed="false">
      <c r="A9" s="6" t="s">
        <v>27</v>
      </c>
      <c r="B9" s="6"/>
      <c r="C9" s="6"/>
      <c r="D9" s="6"/>
    </row>
    <row r="10" customFormat="false" ht="15" hidden="false" customHeight="false" outlineLevel="0" collapsed="false">
      <c r="A10" s="7" t="s">
        <v>28</v>
      </c>
      <c r="B10" s="8" t="n">
        <v>0.3</v>
      </c>
      <c r="C10" s="9" t="s">
        <v>24</v>
      </c>
    </row>
    <row r="11" customFormat="false" ht="15" hidden="false" customHeight="false" outlineLevel="0" collapsed="false">
      <c r="A11" s="7" t="s">
        <v>29</v>
      </c>
      <c r="B11" s="8" t="n">
        <v>0.04</v>
      </c>
      <c r="C11" s="9" t="s">
        <v>24</v>
      </c>
    </row>
    <row r="12" customFormat="false" ht="15" hidden="false" customHeight="false" outlineLevel="0" collapsed="false">
      <c r="A12" s="7" t="s">
        <v>30</v>
      </c>
      <c r="B12" s="10" t="n">
        <f aca="false">B10*(1+B11)</f>
        <v>0.312</v>
      </c>
      <c r="C12" s="9" t="s">
        <v>24</v>
      </c>
    </row>
    <row r="13" customFormat="false" ht="22.35" hidden="false" customHeight="false" outlineLevel="0" collapsed="false">
      <c r="A13" s="7" t="s">
        <v>31</v>
      </c>
      <c r="B13" s="11" t="n">
        <v>5000</v>
      </c>
      <c r="C13" s="9" t="s">
        <v>32</v>
      </c>
      <c r="D13" s="12" t="s">
        <v>33</v>
      </c>
    </row>
    <row r="14" customFormat="false" ht="15" hidden="false" customHeight="false" outlineLevel="0" collapsed="false">
      <c r="A14" s="7" t="s">
        <v>34</v>
      </c>
      <c r="B14" s="11" t="n">
        <v>60000</v>
      </c>
      <c r="C14" s="9" t="s">
        <v>32</v>
      </c>
    </row>
    <row r="16" customFormat="false" ht="18" hidden="false" customHeight="true" outlineLevel="0" collapsed="false">
      <c r="A16" s="6" t="s">
        <v>35</v>
      </c>
      <c r="B16" s="6"/>
      <c r="C16" s="6"/>
      <c r="D16" s="6"/>
    </row>
    <row r="17" customFormat="false" ht="15" hidden="false" customHeight="false" outlineLevel="0" collapsed="false">
      <c r="A17" s="7" t="s">
        <v>36</v>
      </c>
      <c r="B17" s="13" t="n">
        <v>117</v>
      </c>
      <c r="C17" s="9" t="s">
        <v>37</v>
      </c>
      <c r="D17" s="12" t="s">
        <v>38</v>
      </c>
    </row>
    <row r="18" customFormat="false" ht="15" hidden="false" customHeight="false" outlineLevel="0" collapsed="false">
      <c r="A18" s="7" t="s">
        <v>39</v>
      </c>
      <c r="B18" s="13" t="n">
        <v>8</v>
      </c>
      <c r="C18" s="9" t="s">
        <v>40</v>
      </c>
    </row>
    <row r="19" customFormat="false" ht="15" hidden="false" customHeight="false" outlineLevel="0" collapsed="false">
      <c r="A19" s="7" t="s">
        <v>41</v>
      </c>
      <c r="B19" s="13" t="n">
        <v>20</v>
      </c>
      <c r="C19" s="9" t="s">
        <v>40</v>
      </c>
    </row>
    <row r="21" customFormat="false" ht="18" hidden="false" customHeight="true" outlineLevel="0" collapsed="false">
      <c r="A21" s="6" t="s">
        <v>42</v>
      </c>
      <c r="B21" s="6"/>
      <c r="C21" s="6"/>
      <c r="D21" s="6"/>
    </row>
    <row r="22" customFormat="false" ht="15" hidden="false" customHeight="false" outlineLevel="0" collapsed="false">
      <c r="A22" s="7" t="s">
        <v>43</v>
      </c>
      <c r="B22" s="14" t="n">
        <v>8000</v>
      </c>
      <c r="C22" s="9" t="s">
        <v>44</v>
      </c>
    </row>
    <row r="23" customFormat="false" ht="15" hidden="false" customHeight="false" outlineLevel="0" collapsed="false">
      <c r="A23" s="7" t="s">
        <v>45</v>
      </c>
      <c r="B23" s="14" t="n">
        <v>4000</v>
      </c>
      <c r="C23" s="9" t="s">
        <v>44</v>
      </c>
    </row>
    <row r="24" customFormat="false" ht="15" hidden="false" customHeight="false" outlineLevel="0" collapsed="false">
      <c r="A24" s="7" t="s">
        <v>46</v>
      </c>
      <c r="B24" s="15" t="n">
        <f aca="false">B22+B23</f>
        <v>12000</v>
      </c>
      <c r="C24" s="9" t="s">
        <v>44</v>
      </c>
    </row>
    <row r="25" customFormat="false" ht="15" hidden="false" customHeight="false" outlineLevel="0" collapsed="false">
      <c r="A25" s="7" t="s">
        <v>47</v>
      </c>
      <c r="B25" s="16" t="n">
        <v>1.35</v>
      </c>
      <c r="C25" s="9" t="s">
        <v>48</v>
      </c>
      <c r="D25" s="12" t="s">
        <v>49</v>
      </c>
    </row>
    <row r="26" customFormat="false" ht="22.35" hidden="false" customHeight="false" outlineLevel="0" collapsed="false">
      <c r="A26" s="7" t="s">
        <v>50</v>
      </c>
      <c r="B26" s="16" t="n">
        <v>1.15</v>
      </c>
      <c r="C26" s="9" t="s">
        <v>48</v>
      </c>
      <c r="D26" s="12" t="s">
        <v>51</v>
      </c>
    </row>
    <row r="27" customFormat="false" ht="53.7" hidden="false" customHeight="false" outlineLevel="0" collapsed="false">
      <c r="A27" s="7" t="s">
        <v>52</v>
      </c>
      <c r="B27" s="16" t="n">
        <v>1</v>
      </c>
      <c r="C27" s="9" t="s">
        <v>48</v>
      </c>
      <c r="D27" s="12" t="s">
        <v>53</v>
      </c>
    </row>
    <row r="29" customFormat="false" ht="18" hidden="false" customHeight="true" outlineLevel="0" collapsed="false">
      <c r="A29" s="6" t="s">
        <v>54</v>
      </c>
      <c r="B29" s="6"/>
      <c r="C29" s="6"/>
      <c r="D29" s="6"/>
    </row>
    <row r="30" customFormat="false" ht="15" hidden="false" customHeight="false" outlineLevel="0" collapsed="false">
      <c r="A30" s="7" t="s">
        <v>55</v>
      </c>
      <c r="B30" s="11" t="n">
        <v>9000</v>
      </c>
      <c r="C30" s="9" t="s">
        <v>56</v>
      </c>
    </row>
    <row r="31" customFormat="false" ht="15" hidden="false" customHeight="false" outlineLevel="0" collapsed="false">
      <c r="A31" s="7" t="s">
        <v>57</v>
      </c>
      <c r="B31" s="11" t="n">
        <v>4500</v>
      </c>
      <c r="C31" s="9" t="s">
        <v>56</v>
      </c>
    </row>
    <row r="32" customFormat="false" ht="15" hidden="false" customHeight="false" outlineLevel="0" collapsed="false">
      <c r="A32" s="7" t="s">
        <v>58</v>
      </c>
      <c r="B32" s="17" t="n">
        <v>0.03</v>
      </c>
      <c r="C32" s="9" t="s">
        <v>24</v>
      </c>
    </row>
    <row r="33" customFormat="false" ht="15" hidden="false" customHeight="false" outlineLevel="0" collapsed="false">
      <c r="A33" s="7" t="s">
        <v>59</v>
      </c>
      <c r="B33" s="17" t="n">
        <v>0.038</v>
      </c>
      <c r="C33" s="9" t="s">
        <v>24</v>
      </c>
      <c r="D33" s="12" t="s">
        <v>60</v>
      </c>
    </row>
    <row r="34" customFormat="false" ht="15" hidden="false" customHeight="false" outlineLevel="0" collapsed="false">
      <c r="A34" s="7" t="s">
        <v>61</v>
      </c>
      <c r="B34" s="8" t="n">
        <v>0.15</v>
      </c>
      <c r="C34" s="9" t="s">
        <v>24</v>
      </c>
    </row>
  </sheetData>
  <mergeCells count="8">
    <mergeCell ref="A1:D1"/>
    <mergeCell ref="A2:D2"/>
    <mergeCell ref="A4:D4"/>
    <mergeCell ref="A7:D7"/>
    <mergeCell ref="A9:D9"/>
    <mergeCell ref="A16:D16"/>
    <mergeCell ref="A21:D21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6" min="5" style="0" width="15"/>
    <col collapsed="false" customWidth="true" hidden="false" outlineLevel="0" max="7" min="7" style="0" width="10"/>
    <col collapsed="false" customWidth="true" hidden="false" outlineLevel="0" max="8" min="8" style="0" width="62"/>
  </cols>
  <sheetData>
    <row r="1" customFormat="false" ht="24" hidden="false" customHeight="true" outlineLevel="0" collapsed="false">
      <c r="A1" s="4" t="s">
        <v>62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18" t="s">
        <v>63</v>
      </c>
      <c r="B2" s="18"/>
      <c r="C2" s="18"/>
      <c r="D2" s="18"/>
      <c r="E2" s="18"/>
      <c r="F2" s="18"/>
      <c r="G2" s="18"/>
      <c r="H2" s="18"/>
    </row>
    <row r="4" customFormat="false" ht="31.5" hidden="false" customHeight="true" outlineLevel="0" collapsed="false">
      <c r="A4" s="19" t="s">
        <v>64</v>
      </c>
      <c r="B4" s="19" t="s">
        <v>65</v>
      </c>
      <c r="C4" s="19" t="s">
        <v>66</v>
      </c>
      <c r="D4" s="19" t="s">
        <v>67</v>
      </c>
      <c r="E4" s="19" t="s">
        <v>68</v>
      </c>
      <c r="F4" s="19" t="s">
        <v>69</v>
      </c>
      <c r="G4" s="19" t="s">
        <v>70</v>
      </c>
      <c r="H4" s="19" t="s">
        <v>71</v>
      </c>
    </row>
    <row r="5" customFormat="false" ht="42" hidden="false" customHeight="true" outlineLevel="0" collapsed="false">
      <c r="A5" s="20" t="n">
        <v>1</v>
      </c>
      <c r="B5" s="21" t="s">
        <v>72</v>
      </c>
      <c r="C5" s="7" t="s">
        <v>73</v>
      </c>
      <c r="D5" s="22" t="s">
        <v>74</v>
      </c>
      <c r="E5" s="23" t="n">
        <v>1328000</v>
      </c>
      <c r="F5" s="24" t="n">
        <v>10</v>
      </c>
      <c r="G5" s="25" t="s">
        <v>75</v>
      </c>
      <c r="H5" s="26" t="s">
        <v>76</v>
      </c>
    </row>
    <row r="6" customFormat="false" ht="42" hidden="false" customHeight="true" outlineLevel="0" collapsed="false">
      <c r="A6" s="20" t="n">
        <v>2</v>
      </c>
      <c r="B6" s="21" t="s">
        <v>72</v>
      </c>
      <c r="C6" s="7" t="s">
        <v>77</v>
      </c>
      <c r="D6" s="22" t="s">
        <v>78</v>
      </c>
      <c r="E6" s="23" t="n">
        <v>1979000</v>
      </c>
      <c r="F6" s="24" t="n">
        <v>10</v>
      </c>
      <c r="G6" s="25" t="s">
        <v>75</v>
      </c>
      <c r="H6" s="26" t="s">
        <v>79</v>
      </c>
    </row>
    <row r="7" customFormat="false" ht="42" hidden="false" customHeight="true" outlineLevel="0" collapsed="false">
      <c r="A7" s="20" t="n">
        <v>3</v>
      </c>
      <c r="B7" s="21" t="s">
        <v>72</v>
      </c>
      <c r="C7" s="7" t="s">
        <v>80</v>
      </c>
      <c r="D7" s="22" t="s">
        <v>81</v>
      </c>
      <c r="E7" s="23" t="n">
        <v>1758000</v>
      </c>
      <c r="F7" s="24" t="n">
        <v>9.5</v>
      </c>
      <c r="G7" s="25" t="s">
        <v>75</v>
      </c>
      <c r="H7" s="26" t="s">
        <v>82</v>
      </c>
    </row>
    <row r="8" customFormat="false" ht="42" hidden="false" customHeight="true" outlineLevel="0" collapsed="false">
      <c r="A8" s="20" t="n">
        <v>4</v>
      </c>
      <c r="B8" s="21" t="s">
        <v>72</v>
      </c>
      <c r="C8" s="7" t="s">
        <v>80</v>
      </c>
      <c r="D8" s="22" t="s">
        <v>83</v>
      </c>
      <c r="E8" s="23" t="n">
        <v>1785000</v>
      </c>
      <c r="F8" s="24" t="n">
        <v>10</v>
      </c>
      <c r="G8" s="25" t="s">
        <v>75</v>
      </c>
      <c r="H8" s="26" t="s">
        <v>84</v>
      </c>
    </row>
    <row r="9" customFormat="false" ht="42" hidden="false" customHeight="true" outlineLevel="0" collapsed="false">
      <c r="A9" s="20" t="n">
        <v>5</v>
      </c>
      <c r="B9" s="21" t="s">
        <v>72</v>
      </c>
      <c r="C9" s="7" t="s">
        <v>85</v>
      </c>
      <c r="D9" s="22" t="s">
        <v>86</v>
      </c>
      <c r="E9" s="23" t="n">
        <v>1865000</v>
      </c>
      <c r="F9" s="24" t="n">
        <v>11</v>
      </c>
      <c r="G9" s="25" t="s">
        <v>75</v>
      </c>
      <c r="H9" s="26" t="s">
        <v>87</v>
      </c>
    </row>
    <row r="10" customFormat="false" ht="42" hidden="false" customHeight="true" outlineLevel="0" collapsed="false">
      <c r="A10" s="20" t="n">
        <v>6</v>
      </c>
      <c r="B10" s="27" t="s">
        <v>88</v>
      </c>
      <c r="C10" s="7" t="s">
        <v>89</v>
      </c>
      <c r="D10" s="22" t="s">
        <v>90</v>
      </c>
      <c r="E10" s="23" t="n">
        <v>1775000</v>
      </c>
      <c r="F10" s="24" t="n">
        <v>14</v>
      </c>
      <c r="G10" s="25" t="s">
        <v>75</v>
      </c>
      <c r="H10" s="26" t="s">
        <v>91</v>
      </c>
    </row>
    <row r="11" customFormat="false" ht="42" hidden="false" customHeight="true" outlineLevel="0" collapsed="false">
      <c r="A11" s="20" t="n">
        <v>7</v>
      </c>
      <c r="B11" s="27" t="s">
        <v>88</v>
      </c>
      <c r="C11" s="7" t="s">
        <v>92</v>
      </c>
      <c r="D11" s="22" t="s">
        <v>93</v>
      </c>
      <c r="E11" s="23" t="n">
        <v>2250000</v>
      </c>
      <c r="F11" s="24" t="n">
        <v>13.5</v>
      </c>
      <c r="G11" s="25" t="s">
        <v>75</v>
      </c>
      <c r="H11" s="26" t="s">
        <v>94</v>
      </c>
    </row>
    <row r="12" customFormat="false" ht="42" hidden="false" customHeight="true" outlineLevel="0" collapsed="false">
      <c r="A12" s="20" t="n">
        <v>8</v>
      </c>
      <c r="B12" s="27" t="s">
        <v>88</v>
      </c>
      <c r="C12" s="7" t="s">
        <v>92</v>
      </c>
      <c r="D12" s="22" t="s">
        <v>95</v>
      </c>
      <c r="E12" s="23" t="n">
        <v>2530000</v>
      </c>
      <c r="F12" s="24" t="n">
        <v>13.9</v>
      </c>
      <c r="G12" s="25" t="s">
        <v>75</v>
      </c>
      <c r="H12" s="26" t="s">
        <v>96</v>
      </c>
    </row>
    <row r="13" customFormat="false" ht="42" hidden="false" customHeight="true" outlineLevel="0" collapsed="false">
      <c r="A13" s="20" t="n">
        <v>9</v>
      </c>
      <c r="B13" s="27" t="s">
        <v>88</v>
      </c>
      <c r="C13" s="7" t="s">
        <v>97</v>
      </c>
      <c r="D13" s="22" t="s">
        <v>98</v>
      </c>
      <c r="E13" s="23" t="n">
        <v>1980000</v>
      </c>
      <c r="F13" s="24" t="n">
        <v>13.2</v>
      </c>
      <c r="G13" s="25" t="s">
        <v>75</v>
      </c>
      <c r="H13" s="26" t="s">
        <v>99</v>
      </c>
    </row>
    <row r="14" customFormat="false" ht="42" hidden="false" customHeight="true" outlineLevel="0" collapsed="false">
      <c r="A14" s="20" t="n">
        <v>10</v>
      </c>
      <c r="B14" s="27" t="s">
        <v>88</v>
      </c>
      <c r="C14" s="7" t="s">
        <v>100</v>
      </c>
      <c r="D14" s="22" t="s">
        <v>101</v>
      </c>
      <c r="E14" s="23" t="n">
        <v>1643000</v>
      </c>
      <c r="F14" s="24" t="n">
        <v>13.8</v>
      </c>
      <c r="G14" s="25" t="s">
        <v>75</v>
      </c>
      <c r="H14" s="26" t="s">
        <v>102</v>
      </c>
    </row>
    <row r="15" customFormat="false" ht="42" hidden="false" customHeight="true" outlineLevel="0" collapsed="false">
      <c r="A15" s="20" t="n">
        <v>11</v>
      </c>
      <c r="B15" s="27" t="s">
        <v>88</v>
      </c>
      <c r="C15" s="7" t="s">
        <v>103</v>
      </c>
      <c r="D15" s="22" t="s">
        <v>104</v>
      </c>
      <c r="E15" s="23" t="n">
        <v>2214000</v>
      </c>
      <c r="F15" s="24" t="n">
        <v>15.4</v>
      </c>
      <c r="G15" s="25" t="s">
        <v>75</v>
      </c>
      <c r="H15" s="26" t="s">
        <v>105</v>
      </c>
    </row>
    <row r="16" customFormat="false" ht="42" hidden="false" customHeight="true" outlineLevel="0" collapsed="false">
      <c r="A16" s="20" t="n">
        <v>12</v>
      </c>
      <c r="B16" s="28" t="s">
        <v>88</v>
      </c>
      <c r="C16" s="7" t="s">
        <v>106</v>
      </c>
      <c r="D16" s="22" t="s">
        <v>107</v>
      </c>
      <c r="E16" s="23" t="n">
        <v>1946000</v>
      </c>
      <c r="F16" s="24" t="n">
        <v>14.1</v>
      </c>
      <c r="G16" s="25" t="s">
        <v>75</v>
      </c>
      <c r="H16" s="26" t="s">
        <v>108</v>
      </c>
    </row>
    <row r="17" customFormat="false" ht="42" hidden="false" customHeight="true" outlineLevel="0" collapsed="false">
      <c r="A17" s="20" t="n">
        <v>13</v>
      </c>
      <c r="B17" s="28" t="s">
        <v>88</v>
      </c>
      <c r="C17" s="7" t="s">
        <v>109</v>
      </c>
      <c r="D17" s="22" t="s">
        <v>110</v>
      </c>
      <c r="E17" s="23" t="n">
        <v>2137000</v>
      </c>
      <c r="F17" s="24" t="n">
        <v>15.3</v>
      </c>
      <c r="G17" s="25" t="s">
        <v>75</v>
      </c>
      <c r="H17" s="26" t="s">
        <v>111</v>
      </c>
    </row>
    <row r="18" customFormat="false" ht="42" hidden="false" customHeight="true" outlineLevel="0" collapsed="false">
      <c r="A18" s="20" t="n">
        <v>14</v>
      </c>
      <c r="B18" s="28" t="s">
        <v>88</v>
      </c>
      <c r="C18" s="7" t="s">
        <v>112</v>
      </c>
      <c r="D18" s="22" t="s">
        <v>113</v>
      </c>
      <c r="E18" s="23" t="n">
        <v>1950000</v>
      </c>
      <c r="F18" s="24" t="n">
        <v>13.5</v>
      </c>
      <c r="G18" s="25" t="s">
        <v>75</v>
      </c>
      <c r="H18" s="26" t="s">
        <v>114</v>
      </c>
    </row>
    <row r="20" customFormat="false" ht="25.5" hidden="false" customHeight="true" outlineLevel="0" collapsed="false">
      <c r="A20" s="29" t="s">
        <v>115</v>
      </c>
      <c r="B20" s="29"/>
      <c r="C20" s="29"/>
      <c r="D20" s="29"/>
      <c r="E20" s="29"/>
      <c r="F20" s="29"/>
      <c r="G20" s="29"/>
      <c r="H20" s="29"/>
    </row>
    <row r="21" customFormat="false" ht="18" hidden="false" customHeight="true" outlineLevel="0" collapsed="false">
      <c r="A21" s="20" t="n">
        <v>17</v>
      </c>
      <c r="B21" s="30"/>
      <c r="C21" s="30"/>
      <c r="D21" s="30"/>
      <c r="E21" s="31"/>
      <c r="F21" s="32"/>
      <c r="G21" s="30"/>
      <c r="H21" s="30"/>
    </row>
    <row r="22" customFormat="false" ht="18" hidden="false" customHeight="true" outlineLevel="0" collapsed="false">
      <c r="A22" s="20" t="n">
        <v>18</v>
      </c>
      <c r="B22" s="30"/>
      <c r="C22" s="30"/>
      <c r="D22" s="30"/>
      <c r="E22" s="31"/>
      <c r="F22" s="32"/>
      <c r="G22" s="30"/>
      <c r="H22" s="30"/>
    </row>
    <row r="23" customFormat="false" ht="18" hidden="false" customHeight="true" outlineLevel="0" collapsed="false">
      <c r="A23" s="20" t="n">
        <v>19</v>
      </c>
      <c r="B23" s="30"/>
      <c r="C23" s="30"/>
      <c r="D23" s="30"/>
      <c r="E23" s="31"/>
      <c r="F23" s="32"/>
      <c r="G23" s="30"/>
      <c r="H23" s="30"/>
    </row>
    <row r="24" customFormat="false" ht="18" hidden="false" customHeight="true" outlineLevel="0" collapsed="false">
      <c r="A24" s="20" t="n">
        <v>20</v>
      </c>
      <c r="B24" s="30"/>
      <c r="C24" s="30"/>
      <c r="D24" s="30"/>
      <c r="E24" s="31"/>
      <c r="F24" s="32"/>
      <c r="G24" s="30"/>
      <c r="H24" s="30"/>
    </row>
    <row r="25" customFormat="false" ht="18" hidden="false" customHeight="true" outlineLevel="0" collapsed="false">
      <c r="A25" s="20" t="n">
        <v>21</v>
      </c>
      <c r="B25" s="30"/>
      <c r="C25" s="30"/>
      <c r="D25" s="30"/>
      <c r="E25" s="31"/>
      <c r="F25" s="32"/>
      <c r="G25" s="30"/>
      <c r="H25" s="30"/>
    </row>
    <row r="26" customFormat="false" ht="18" hidden="false" customHeight="true" outlineLevel="0" collapsed="false">
      <c r="A26" s="20" t="n">
        <v>22</v>
      </c>
      <c r="B26" s="30"/>
      <c r="C26" s="30"/>
      <c r="D26" s="30"/>
      <c r="E26" s="31"/>
      <c r="F26" s="32"/>
      <c r="G26" s="30"/>
      <c r="H26" s="30"/>
    </row>
    <row r="27" customFormat="false" ht="18" hidden="false" customHeight="true" outlineLevel="0" collapsed="false">
      <c r="A27" s="20" t="n">
        <v>23</v>
      </c>
      <c r="B27" s="30"/>
      <c r="C27" s="30"/>
      <c r="D27" s="30"/>
      <c r="E27" s="31"/>
      <c r="F27" s="32"/>
      <c r="G27" s="30"/>
      <c r="H27" s="30"/>
    </row>
    <row r="28" customFormat="false" ht="18" hidden="false" customHeight="true" outlineLevel="0" collapsed="false">
      <c r="A28" s="20" t="n">
        <v>24</v>
      </c>
      <c r="B28" s="30"/>
      <c r="C28" s="30"/>
      <c r="D28" s="30"/>
      <c r="E28" s="31"/>
      <c r="F28" s="32"/>
      <c r="G28" s="30"/>
      <c r="H28" s="30"/>
    </row>
    <row r="29" customFormat="false" ht="18" hidden="false" customHeight="true" outlineLevel="0" collapsed="false">
      <c r="A29" s="20" t="n">
        <v>25</v>
      </c>
      <c r="B29" s="30"/>
      <c r="C29" s="30"/>
      <c r="D29" s="30"/>
      <c r="E29" s="31"/>
      <c r="F29" s="32"/>
      <c r="G29" s="30"/>
      <c r="H29" s="30"/>
    </row>
    <row r="30" customFormat="false" ht="18" hidden="false" customHeight="true" outlineLevel="0" collapsed="false">
      <c r="A30" s="20" t="n">
        <v>26</v>
      </c>
      <c r="B30" s="30"/>
      <c r="C30" s="30"/>
      <c r="D30" s="30"/>
      <c r="E30" s="31"/>
      <c r="F30" s="32"/>
      <c r="G30" s="30"/>
      <c r="H30" s="30"/>
    </row>
  </sheetData>
  <mergeCells count="3">
    <mergeCell ref="A1:H1"/>
    <mergeCell ref="A2:H2"/>
    <mergeCell ref="A20:H20"/>
  </mergeCells>
  <dataValidations count="1">
    <dataValidation allowBlank="true" errorStyle="stop" operator="between" showDropDown="false" showErrorMessage="false" showInputMessage="false" sqref="B21:B30" type="list">
      <formula1>"ICE,EV"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9" min="18" style="0" width="14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4"/>
    <col collapsed="false" customWidth="true" hidden="false" outlineLevel="0" max="24" min="24" style="0" width="12"/>
    <col collapsed="false" customWidth="true" hidden="false" outlineLevel="0" max="26" min="25" style="0" width="14"/>
    <col collapsed="false" customWidth="true" hidden="false" outlineLevel="0" max="27" min="27" style="0" width="11"/>
    <col collapsed="false" customWidth="true" hidden="false" outlineLevel="0" max="30" min="28" style="0" width="8"/>
  </cols>
  <sheetData>
    <row r="1" customFormat="false" ht="24" hidden="false" customHeight="true" outlineLevel="0" collapsed="false">
      <c r="A1" s="4" t="s">
        <v>116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false" ht="15" hidden="false" customHeight="false" outlineLevel="0" collapsed="false">
      <c r="A2" s="5" t="s">
        <v>117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4" customFormat="false" ht="15" hidden="false" customHeight="false" outlineLevel="0" collapsed="false">
      <c r="G4" s="33" t="s">
        <v>118</v>
      </c>
      <c r="H4" s="33"/>
      <c r="I4" s="33"/>
      <c r="J4" s="33"/>
      <c r="K4" s="33"/>
      <c r="L4" s="33"/>
      <c r="M4" s="33"/>
      <c r="N4" s="33" t="s">
        <v>119</v>
      </c>
      <c r="O4" s="33"/>
      <c r="P4" s="33"/>
      <c r="Q4" s="33"/>
      <c r="R4" s="33"/>
      <c r="S4" s="33"/>
      <c r="T4" s="33"/>
      <c r="U4" s="33" t="s">
        <v>120</v>
      </c>
      <c r="V4" s="33"/>
      <c r="W4" s="33"/>
      <c r="X4" s="33"/>
      <c r="Y4" s="33"/>
      <c r="Z4" s="33"/>
      <c r="AA4" s="33"/>
      <c r="AB4" s="34" t="s">
        <v>121</v>
      </c>
      <c r="AC4" s="34"/>
      <c r="AD4" s="34"/>
    </row>
    <row r="5" customFormat="false" ht="39.75" hidden="false" customHeight="true" outlineLevel="0" collapsed="false">
      <c r="A5" s="35" t="s">
        <v>64</v>
      </c>
      <c r="B5" s="35" t="s">
        <v>65</v>
      </c>
      <c r="C5" s="35" t="s">
        <v>122</v>
      </c>
      <c r="D5" s="35" t="s">
        <v>67</v>
      </c>
      <c r="E5" s="35" t="s">
        <v>68</v>
      </c>
      <c r="F5" s="35" t="s">
        <v>123</v>
      </c>
      <c r="G5" s="36" t="s">
        <v>124</v>
      </c>
      <c r="H5" s="36" t="s">
        <v>125</v>
      </c>
      <c r="I5" s="36" t="s">
        <v>126</v>
      </c>
      <c r="J5" s="36" t="s">
        <v>127</v>
      </c>
      <c r="K5" s="36" t="s">
        <v>128</v>
      </c>
      <c r="L5" s="36" t="s">
        <v>129</v>
      </c>
      <c r="M5" s="36" t="s">
        <v>130</v>
      </c>
      <c r="N5" s="36" t="s">
        <v>124</v>
      </c>
      <c r="O5" s="36" t="s">
        <v>125</v>
      </c>
      <c r="P5" s="36" t="s">
        <v>126</v>
      </c>
      <c r="Q5" s="36" t="s">
        <v>127</v>
      </c>
      <c r="R5" s="36" t="s">
        <v>128</v>
      </c>
      <c r="S5" s="36" t="s">
        <v>129</v>
      </c>
      <c r="T5" s="36" t="s">
        <v>130</v>
      </c>
      <c r="U5" s="36" t="s">
        <v>124</v>
      </c>
      <c r="V5" s="36" t="s">
        <v>125</v>
      </c>
      <c r="W5" s="36" t="s">
        <v>126</v>
      </c>
      <c r="X5" s="36" t="s">
        <v>127</v>
      </c>
      <c r="Y5" s="36" t="s">
        <v>128</v>
      </c>
      <c r="Z5" s="36" t="s">
        <v>129</v>
      </c>
      <c r="AA5" s="36" t="s">
        <v>130</v>
      </c>
      <c r="AB5" s="35" t="s">
        <v>131</v>
      </c>
      <c r="AC5" s="35" t="s">
        <v>132</v>
      </c>
      <c r="AD5" s="35" t="s">
        <v>133</v>
      </c>
    </row>
    <row r="6" customFormat="false" ht="15" hidden="false" customHeight="false" outlineLevel="0" collapsed="false">
      <c r="A6" s="20" t="n">
        <v>1</v>
      </c>
      <c r="B6" s="37" t="str">
        <f aca="false">Cars!B5</f>
        <v>ICE</v>
      </c>
      <c r="C6" s="38" t="str">
        <f aca="false">Cars!C5</f>
        <v>Tata Nexon</v>
      </c>
      <c r="D6" s="39" t="str">
        <f aca="false">Cars!D5</f>
        <v>Petrol Creative DCT (Automatic)</v>
      </c>
      <c r="E6" s="40" t="n">
        <f aca="false">Cars!E5</f>
        <v>1328000</v>
      </c>
      <c r="F6" s="41" t="n">
        <f aca="false">Cars!F5</f>
        <v>10</v>
      </c>
      <c r="G6" s="42" t="n">
        <f aca="false">IF(ISBLANK(Cars!$E$5),"",PMT(Assumptions!$B$5/12,36,-$E6,$E6*Assumptions!$B$6))</f>
        <v>39672.4088007412</v>
      </c>
      <c r="H6" s="42" t="n">
        <f aca="false">IF(ISBLANK(Cars!$E$5),"",(IF($B6="ICE",Assumptions!$B$22/$F6*Assumptions!$B$17+Assumptions!$B$23/($F6*Assumptions!$B$25)*Assumptions!$B$17,Assumptions!$B$22*Assumptions!$B$27*($F6/100)*Assumptions!$B$18+Assumptions!$B$23*Assumptions!$B$27*($F6*Assumptions!$B$26/100)*Assumptions!$B$19))*3)</f>
        <v>384800</v>
      </c>
      <c r="I6" s="42" t="n">
        <f aca="false">IF(ISBLANK(Cars!$E$5),"",(IF($B6="ICE",Assumptions!$B$30,Assumptions!$B$31)*3)+($E6*IF($B6="ICE",Assumptions!$B$32,Assumptions!$B$33)*(1-(1-Assumptions!$B$34)^3)/Assumptions!$B$34))</f>
        <v>129488.4</v>
      </c>
      <c r="J6" s="42" t="n">
        <f aca="false">IF(ISBLANK(Cars!$E$5),"",Assumptions!$B$12*(G6-Assumptions!$B$13)*36)</f>
        <v>389440.495649926</v>
      </c>
      <c r="K6" s="42" t="n">
        <f aca="false">IF(ISBLANK(Cars!$E$5),"",G6*36+$E6*Assumptions!$B$6+H6+I6)</f>
        <v>2075295.11682668</v>
      </c>
      <c r="L6" s="43" t="n">
        <f aca="false">IF(ISBLANK(Cars!$E$5),"",K6-J6)</f>
        <v>1685854.62117676</v>
      </c>
      <c r="M6" s="44" t="n">
        <f aca="false">IF(ISBLANK(Cars!$E$5),"",L6/(Assumptions!$B$24*IF($B6="EV",Assumptions!$B$27,1)*3))</f>
        <v>46.8292950326877</v>
      </c>
      <c r="N6" s="42" t="n">
        <f aca="false">IF(ISBLANK(Cars!$E$5),"",PMT(Assumptions!$B$5/12,48,-$E6,$E6*Assumptions!$B$6))</f>
        <v>31420.0263878765</v>
      </c>
      <c r="O6" s="42" t="n">
        <f aca="false">IF(ISBLANK(Cars!$E$5),"",(IF($B6="ICE",Assumptions!$B$22/$F6*Assumptions!$B$17+Assumptions!$B$23/($F6*Assumptions!$B$25)*Assumptions!$B$17,Assumptions!$B$22*Assumptions!$B$27*($F6/100)*Assumptions!$B$18+Assumptions!$B$23*Assumptions!$B$27*($F6*Assumptions!$B$26/100)*Assumptions!$B$19))*4)</f>
        <v>513066.666666667</v>
      </c>
      <c r="P6" s="42" t="n">
        <f aca="false">IF(ISBLANK(Cars!$E$5),"",(IF($B6="ICE",Assumptions!$B$30,Assumptions!$B$31)*4)+($E6*IF($B6="ICE",Assumptions!$B$32,Assumptions!$B$33)*(1-(1-Assumptions!$B$34)^4)/Assumptions!$B$34))</f>
        <v>162955.14</v>
      </c>
      <c r="Q6" s="42" t="n">
        <f aca="false">IF(ISBLANK(Cars!$E$5),"",Assumptions!$B$12*(N6-Assumptions!$B$13)*48)</f>
        <v>395666.315184839</v>
      </c>
      <c r="R6" s="42" t="n">
        <f aca="false">IF(ISBLANK(Cars!$E$5),"",N6*48+$E6*Assumptions!$B$6+O6+P6)</f>
        <v>2316983.07328474</v>
      </c>
      <c r="S6" s="43" t="n">
        <f aca="false">IF(ISBLANK(Cars!$E$5),"",R6-Q6)</f>
        <v>1921316.7580999</v>
      </c>
      <c r="T6" s="44" t="n">
        <f aca="false">IF(ISBLANK(Cars!$E$5),"",S6/(Assumptions!$B$24*IF($B6="EV",Assumptions!$B$27,1)*4))</f>
        <v>40.0274324604146</v>
      </c>
      <c r="U6" s="42" t="n">
        <f aca="false">IF(ISBLANK(Cars!$E$5),"",PMT(Assumptions!$B$5/12,60,-$E6,$E6*Assumptions!$B$6))</f>
        <v>26501.1345055745</v>
      </c>
      <c r="V6" s="42" t="n">
        <f aca="false">IF(ISBLANK(Cars!$E$5),"",(IF($B6="ICE",Assumptions!$B$22/$F6*Assumptions!$B$17+Assumptions!$B$23/($F6*Assumptions!$B$25)*Assumptions!$B$17,Assumptions!$B$22*Assumptions!$B$27*($F6/100)*Assumptions!$B$18+Assumptions!$B$23*Assumptions!$B$27*($F6*Assumptions!$B$26/100)*Assumptions!$B$19))*5)</f>
        <v>641333.333333333</v>
      </c>
      <c r="W6" s="42" t="n">
        <f aca="false">IF(ISBLANK(Cars!$E$5),"",(IF($B6="ICE",Assumptions!$B$30,Assumptions!$B$31)*5)+($E6*IF($B6="ICE",Assumptions!$B$32,Assumptions!$B$33)*(1-(1-Assumptions!$B$34)^5)/Assumptions!$B$34))</f>
        <v>192751.869</v>
      </c>
      <c r="X6" s="42" t="n">
        <f aca="false">IF(ISBLANK(Cars!$E$5),"",Assumptions!$B$12*(U6-Assumptions!$B$13)*60)</f>
        <v>402501.237944355</v>
      </c>
      <c r="Y6" s="42" t="n">
        <f aca="false">IF(ISBLANK(Cars!$E$5),"",U6*60+$E6*Assumptions!$B$6+V6+W6)</f>
        <v>2556953.2726678</v>
      </c>
      <c r="Z6" s="43" t="n">
        <f aca="false">IF(ISBLANK(Cars!$E$5),"",Y6-X6)</f>
        <v>2154452.03472345</v>
      </c>
      <c r="AA6" s="44" t="n">
        <f aca="false">IF(ISBLANK(Cars!$E$5),"",Z6/(Assumptions!$B$24*IF($B6="EV",Assumptions!$B$27,1)*5))</f>
        <v>35.9075339120575</v>
      </c>
      <c r="AB6" s="45" t="n">
        <f aca="false">IF(ISBLANK(Cars!$E$5),"",RANK(L6,$L$6:$L$31,1))</f>
        <v>2</v>
      </c>
      <c r="AC6" s="45" t="n">
        <f aca="false">IF(ISBLANK(Cars!$E$5),"",RANK(S6,$S$6:$S$31,1))</f>
        <v>2</v>
      </c>
      <c r="AD6" s="45" t="n">
        <f aca="false">IF(ISBLANK(Cars!$E$5),"",RANK(Z6,$Z$6:$Z$31,1))</f>
        <v>3</v>
      </c>
    </row>
    <row r="7" customFormat="false" ht="15" hidden="false" customHeight="false" outlineLevel="0" collapsed="false">
      <c r="A7" s="20" t="n">
        <v>2</v>
      </c>
      <c r="B7" s="37" t="str">
        <f aca="false">Cars!B6</f>
        <v>ICE</v>
      </c>
      <c r="C7" s="38" t="str">
        <f aca="false">Cars!C6</f>
        <v>Hyundai Creta</v>
      </c>
      <c r="D7" s="39" t="str">
        <f aca="false">Cars!D6</f>
        <v>SX Tech iVT Petrol (360° cam)</v>
      </c>
      <c r="E7" s="40" t="n">
        <f aca="false">Cars!E6</f>
        <v>1979000</v>
      </c>
      <c r="F7" s="41" t="n">
        <f aca="false">Cars!F6</f>
        <v>10</v>
      </c>
      <c r="G7" s="42" t="n">
        <f aca="false">IF(ISBLANK(Cars!$E$6),"",PMT(Assumptions!$B$5/12,36,-$E7,$E7*Assumptions!$B$6))</f>
        <v>59120.2537776106</v>
      </c>
      <c r="H7" s="42" t="n">
        <f aca="false">IF(ISBLANK(Cars!$E$6),"",(IF($B7="ICE",Assumptions!$B$22/$F7*Assumptions!$B$17+Assumptions!$B$23/($F7*Assumptions!$B$25)*Assumptions!$B$17,Assumptions!$B$22*Assumptions!$B$27*($F7/100)*Assumptions!$B$18+Assumptions!$B$23*Assumptions!$B$27*($F7*Assumptions!$B$26/100)*Assumptions!$B$19))*3)</f>
        <v>384800</v>
      </c>
      <c r="I7" s="42" t="n">
        <f aca="false">IF(ISBLANK(Cars!$E$6),"",(IF($B7="ICE",Assumptions!$B$30,Assumptions!$B$31)*3)+($E7*IF($B7="ICE",Assumptions!$B$32,Assumptions!$B$33)*(1-(1-Assumptions!$B$34)^3)/Assumptions!$B$34))</f>
        <v>179729.325</v>
      </c>
      <c r="J7" s="42" t="n">
        <f aca="false">IF(ISBLANK(Cars!$E$6),"",Assumptions!$B$12*(G7-Assumptions!$B$13)*36)</f>
        <v>607878.690430122</v>
      </c>
      <c r="K7" s="42" t="n">
        <f aca="false">IF(ISBLANK(Cars!$E$6),"",G7*36+$E7*Assumptions!$B$6+H7+I7)</f>
        <v>2890758.46099398</v>
      </c>
      <c r="L7" s="43" t="n">
        <f aca="false">IF(ISBLANK(Cars!$E$6),"",K7-J7)</f>
        <v>2282879.77056386</v>
      </c>
      <c r="M7" s="44" t="n">
        <f aca="false">IF(ISBLANK(Cars!$E$6),"",L7/(Assumptions!$B$24*IF($B7="EV",Assumptions!$B$27,1)*3))</f>
        <v>63.4133269601072</v>
      </c>
      <c r="N7" s="42" t="n">
        <f aca="false">IF(ISBLANK(Cars!$E$6),"",PMT(Assumptions!$B$5/12,48,-$E7,$E7*Assumptions!$B$6))</f>
        <v>46822.4640222949</v>
      </c>
      <c r="O7" s="42" t="n">
        <f aca="false">IF(ISBLANK(Cars!$E$6),"",(IF($B7="ICE",Assumptions!$B$22/$F7*Assumptions!$B$17+Assumptions!$B$23/($F7*Assumptions!$B$25)*Assumptions!$B$17,Assumptions!$B$22*Assumptions!$B$27*($F7/100)*Assumptions!$B$18+Assumptions!$B$23*Assumptions!$B$27*($F7*Assumptions!$B$26/100)*Assumptions!$B$19))*4)</f>
        <v>513066.666666667</v>
      </c>
      <c r="P7" s="42" t="n">
        <f aca="false">IF(ISBLANK(Cars!$E$6),"",(IF($B7="ICE",Assumptions!$B$30,Assumptions!$B$31)*4)+($E7*IF($B7="ICE",Assumptions!$B$32,Assumptions!$B$33)*(1-(1-Assumptions!$B$34)^4)/Assumptions!$B$34))</f>
        <v>225189.92625</v>
      </c>
      <c r="Q7" s="42" t="n">
        <f aca="false">IF(ISBLANK(Cars!$E$6),"",Assumptions!$B$12*(N7-Assumptions!$B$13)*48)</f>
        <v>626333.221197888</v>
      </c>
      <c r="R7" s="42" t="n">
        <f aca="false">IF(ISBLANK(Cars!$E$6),"",N7*48+$E7*Assumptions!$B$6+O7+P7)</f>
        <v>3183634.86598682</v>
      </c>
      <c r="S7" s="43" t="n">
        <f aca="false">IF(ISBLANK(Cars!$E$6),"",R7-Q7)</f>
        <v>2557301.64478893</v>
      </c>
      <c r="T7" s="44" t="n">
        <f aca="false">IF(ISBLANK(Cars!$E$6),"",S7/(Assumptions!$B$24*IF($B7="EV",Assumptions!$B$27,1)*4))</f>
        <v>53.2771175997694</v>
      </c>
      <c r="U7" s="42" t="n">
        <f aca="false">IF(ISBLANK(Cars!$E$6),"",PMT(Assumptions!$B$5/12,60,-$E7,$E7*Assumptions!$B$6))</f>
        <v>39492.2780019066</v>
      </c>
      <c r="V7" s="42" t="n">
        <f aca="false">IF(ISBLANK(Cars!$E$6),"",(IF($B7="ICE",Assumptions!$B$22/$F7*Assumptions!$B$17+Assumptions!$B$23/($F7*Assumptions!$B$25)*Assumptions!$B$17,Assumptions!$B$22*Assumptions!$B$27*($F7/100)*Assumptions!$B$18+Assumptions!$B$23*Assumptions!$B$27*($F7*Assumptions!$B$26/100)*Assumptions!$B$19))*5)</f>
        <v>641333.333333333</v>
      </c>
      <c r="W7" s="42" t="n">
        <f aca="false">IF(ISBLANK(Cars!$E$6),"",(IF($B7="ICE",Assumptions!$B$30,Assumptions!$B$31)*5)+($E7*IF($B7="ICE",Assumptions!$B$32,Assumptions!$B$33)*(1-(1-Assumptions!$B$34)^5)/Assumptions!$B$34))</f>
        <v>265181.4373125</v>
      </c>
      <c r="X7" s="42" t="n">
        <f aca="false">IF(ISBLANK(Cars!$E$6),"",Assumptions!$B$12*(U7-Assumptions!$B$13)*60)</f>
        <v>645695.444195691</v>
      </c>
      <c r="Y7" s="42" t="n">
        <f aca="false">IF(ISBLANK(Cars!$E$6),"",U7*60+$E7*Assumptions!$B$6+V7+W7)</f>
        <v>3473951.45076023</v>
      </c>
      <c r="Z7" s="43" t="n">
        <f aca="false">IF(ISBLANK(Cars!$E$6),"",Y7-X7)</f>
        <v>2828256.00656454</v>
      </c>
      <c r="AA7" s="44" t="n">
        <f aca="false">IF(ISBLANK(Cars!$E$6),"",Z7/(Assumptions!$B$24*IF($B7="EV",Assumptions!$B$27,1)*5))</f>
        <v>47.137600109409</v>
      </c>
      <c r="AB7" s="45" t="n">
        <f aca="false">IF(ISBLANK(Cars!$E$6),"",RANK(L7,$L$6:$L$31,1))</f>
        <v>13</v>
      </c>
      <c r="AC7" s="45" t="n">
        <f aca="false">IF(ISBLANK(Cars!$E$6),"",RANK(S7,$S$6:$S$31,1))</f>
        <v>13</v>
      </c>
      <c r="AD7" s="45" t="n">
        <f aca="false">IF(ISBLANK(Cars!$E$6),"",RANK(Z7,$Z$6:$Z$31,1))</f>
        <v>13</v>
      </c>
    </row>
    <row r="8" customFormat="false" ht="15" hidden="false" customHeight="false" outlineLevel="0" collapsed="false">
      <c r="A8" s="20" t="n">
        <v>3</v>
      </c>
      <c r="B8" s="37" t="str">
        <f aca="false">Cars!B7</f>
        <v>ICE</v>
      </c>
      <c r="C8" s="38" t="str">
        <f aca="false">Cars!C7</f>
        <v>Mahindra XUV 3XO</v>
      </c>
      <c r="D8" s="39" t="str">
        <f aca="false">Cars!D7</f>
        <v>AX5L TGDi Automatic</v>
      </c>
      <c r="E8" s="40" t="n">
        <f aca="false">Cars!E7</f>
        <v>1758000</v>
      </c>
      <c r="F8" s="41" t="n">
        <f aca="false">Cars!F7</f>
        <v>9.5</v>
      </c>
      <c r="G8" s="42" t="n">
        <f aca="false">IF(ISBLANK(Cars!$E$7),"",PMT(Assumptions!$B$5/12,36,-$E8,$E8*Assumptions!$B$6))</f>
        <v>52518.1435780897</v>
      </c>
      <c r="H8" s="42" t="n">
        <f aca="false">IF(ISBLANK(Cars!$E$7),"",(IF($B8="ICE",Assumptions!$B$22/$F8*Assumptions!$B$17+Assumptions!$B$23/($F8*Assumptions!$B$25)*Assumptions!$B$17,Assumptions!$B$22*Assumptions!$B$27*($F8/100)*Assumptions!$B$18+Assumptions!$B$23*Assumptions!$B$27*($F8*Assumptions!$B$26/100)*Assumptions!$B$19))*3)</f>
        <v>405052.631578947</v>
      </c>
      <c r="I8" s="42" t="n">
        <f aca="false">IF(ISBLANK(Cars!$E$7),"",(IF($B8="ICE",Assumptions!$B$30,Assumptions!$B$31)*3)+($E8*IF($B8="ICE",Assumptions!$B$32,Assumptions!$B$33)*(1-(1-Assumptions!$B$34)^3)/Assumptions!$B$34))</f>
        <v>162673.65</v>
      </c>
      <c r="J8" s="42" t="n">
        <f aca="false">IF(ISBLANK(Cars!$E$7),"",Assumptions!$B$12*(G8-Assumptions!$B$13)*36)</f>
        <v>533723.788669103</v>
      </c>
      <c r="K8" s="42" t="n">
        <f aca="false">IF(ISBLANK(Cars!$E$7),"",G8*36+$E8*Assumptions!$B$6+H8+I8)</f>
        <v>2634179.45039018</v>
      </c>
      <c r="L8" s="43" t="n">
        <f aca="false">IF(ISBLANK(Cars!$E$7),"",K8-J8)</f>
        <v>2100455.66172107</v>
      </c>
      <c r="M8" s="44" t="n">
        <f aca="false">IF(ISBLANK(Cars!$E$7),"",L8/(Assumptions!$B$24*IF($B8="EV",Assumptions!$B$27,1)*3))</f>
        <v>58.3459906033631</v>
      </c>
      <c r="N8" s="42" t="n">
        <f aca="false">IF(ISBLANK(Cars!$E$7),"",PMT(Assumptions!$B$5/12,48,-$E8,$E8*Assumptions!$B$6))</f>
        <v>41593.679510457</v>
      </c>
      <c r="O8" s="42" t="n">
        <f aca="false">IF(ISBLANK(Cars!$E$7),"",(IF($B8="ICE",Assumptions!$B$22/$F8*Assumptions!$B$17+Assumptions!$B$23/($F8*Assumptions!$B$25)*Assumptions!$B$17,Assumptions!$B$22*Assumptions!$B$27*($F8/100)*Assumptions!$B$18+Assumptions!$B$23*Assumptions!$B$27*($F8*Assumptions!$B$26/100)*Assumptions!$B$19))*4)</f>
        <v>540070.175438596</v>
      </c>
      <c r="P8" s="42" t="n">
        <f aca="false">IF(ISBLANK(Cars!$E$7),"",(IF($B8="ICE",Assumptions!$B$30,Assumptions!$B$31)*4)+($E8*IF($B8="ICE",Assumptions!$B$32,Assumptions!$B$33)*(1-(1-Assumptions!$B$34)^4)/Assumptions!$B$34))</f>
        <v>204062.6025</v>
      </c>
      <c r="Q8" s="42" t="n">
        <f aca="false">IF(ISBLANK(Cars!$E$7),"",Assumptions!$B$12*(N8-Assumptions!$B$13)*48)</f>
        <v>548026.944348604</v>
      </c>
      <c r="R8" s="42" t="n">
        <f aca="false">IF(ISBLANK(Cars!$E$7),"",N8*48+$E8*Assumptions!$B$6+O8+P8)</f>
        <v>2916429.39444053</v>
      </c>
      <c r="S8" s="43" t="n">
        <f aca="false">IF(ISBLANK(Cars!$E$7),"",R8-Q8)</f>
        <v>2368402.45009193</v>
      </c>
      <c r="T8" s="44" t="n">
        <f aca="false">IF(ISBLANK(Cars!$E$7),"",S8/(Assumptions!$B$24*IF($B8="EV",Assumptions!$B$27,1)*4))</f>
        <v>49.3417177102485</v>
      </c>
      <c r="U8" s="42" t="n">
        <f aca="false">IF(ISBLANK(Cars!$E$7),"",PMT(Assumptions!$B$5/12,60,-$E8,$E8*Assumptions!$B$6))</f>
        <v>35082.0741421687</v>
      </c>
      <c r="V8" s="42" t="n">
        <f aca="false">IF(ISBLANK(Cars!$E$7),"",(IF($B8="ICE",Assumptions!$B$22/$F8*Assumptions!$B$17+Assumptions!$B$23/($F8*Assumptions!$B$25)*Assumptions!$B$17,Assumptions!$B$22*Assumptions!$B$27*($F8/100)*Assumptions!$B$18+Assumptions!$B$23*Assumptions!$B$27*($F8*Assumptions!$B$26/100)*Assumptions!$B$19))*5)</f>
        <v>675087.719298246</v>
      </c>
      <c r="W8" s="42" t="n">
        <f aca="false">IF(ISBLANK(Cars!$E$7),"",(IF($B8="ICE",Assumptions!$B$30,Assumptions!$B$31)*5)+($E8*IF($B8="ICE",Assumptions!$B$32,Assumptions!$B$33)*(1-(1-Assumptions!$B$34)^5)/Assumptions!$B$34))</f>
        <v>240593.212125</v>
      </c>
      <c r="X8" s="42" t="n">
        <f aca="false">IF(ISBLANK(Cars!$E$7),"",Assumptions!$B$12*(U8-Assumptions!$B$13)*60)</f>
        <v>563136.427941397</v>
      </c>
      <c r="Y8" s="42" t="n">
        <f aca="false">IF(ISBLANK(Cars!$E$7),"",U8*60+$E8*Assumptions!$B$6+V8+W8)</f>
        <v>3196405.37995337</v>
      </c>
      <c r="Z8" s="43" t="n">
        <f aca="false">IF(ISBLANK(Cars!$E$7),"",Y8-X8)</f>
        <v>2633268.95201197</v>
      </c>
      <c r="AA8" s="44" t="n">
        <f aca="false">IF(ISBLANK(Cars!$E$7),"",Z8/(Assumptions!$B$24*IF($B8="EV",Assumptions!$B$27,1)*5))</f>
        <v>43.8878158668661</v>
      </c>
      <c r="AB8" s="45" t="n">
        <f aca="false">IF(ISBLANK(Cars!$E$7),"",RANK(L8,$L$6:$L$31,1))</f>
        <v>7</v>
      </c>
      <c r="AC8" s="45" t="n">
        <f aca="false">IF(ISBLANK(Cars!$E$7),"",RANK(S8,$S$6:$S$31,1))</f>
        <v>9</v>
      </c>
      <c r="AD8" s="45" t="n">
        <f aca="false">IF(ISBLANK(Cars!$E$7),"",RANK(Z8,$Z$6:$Z$31,1))</f>
        <v>11</v>
      </c>
    </row>
    <row r="9" customFormat="false" ht="15" hidden="false" customHeight="false" outlineLevel="0" collapsed="false">
      <c r="A9" s="20" t="n">
        <v>4</v>
      </c>
      <c r="B9" s="37" t="str">
        <f aca="false">Cars!B8</f>
        <v>ICE</v>
      </c>
      <c r="C9" s="38" t="str">
        <f aca="false">Cars!C8</f>
        <v>Mahindra XUV 3XO</v>
      </c>
      <c r="D9" s="39" t="str">
        <f aca="false">Cars!D8</f>
        <v>AX7L TGDi Automatic (top)</v>
      </c>
      <c r="E9" s="40" t="n">
        <f aca="false">Cars!E8</f>
        <v>1785000</v>
      </c>
      <c r="F9" s="41" t="n">
        <f aca="false">Cars!F8</f>
        <v>10</v>
      </c>
      <c r="G9" s="42" t="n">
        <f aca="false">IF(ISBLANK(Cars!$E$8),"",PMT(Assumptions!$B$5/12,36,-$E9,$E9*Assumptions!$B$6))</f>
        <v>53324.7362268999</v>
      </c>
      <c r="H9" s="42" t="n">
        <f aca="false">IF(ISBLANK(Cars!$E$8),"",(IF($B9="ICE",Assumptions!$B$22/$F9*Assumptions!$B$17+Assumptions!$B$23/($F9*Assumptions!$B$25)*Assumptions!$B$17,Assumptions!$B$22*Assumptions!$B$27*($F9/100)*Assumptions!$B$18+Assumptions!$B$23*Assumptions!$B$27*($F9*Assumptions!$B$26/100)*Assumptions!$B$19))*3)</f>
        <v>384800</v>
      </c>
      <c r="I9" s="42" t="n">
        <f aca="false">IF(ISBLANK(Cars!$E$8),"",(IF($B9="ICE",Assumptions!$B$30,Assumptions!$B$31)*3)+($E9*IF($B9="ICE",Assumptions!$B$32,Assumptions!$B$33)*(1-(1-Assumptions!$B$34)^3)/Assumptions!$B$34))</f>
        <v>164757.375</v>
      </c>
      <c r="J9" s="42" t="n">
        <f aca="false">IF(ISBLANK(Cars!$E$8),"",Assumptions!$B$12*(G9-Assumptions!$B$13)*36)</f>
        <v>542783.43730054</v>
      </c>
      <c r="K9" s="42" t="n">
        <f aca="false">IF(ISBLANK(Cars!$E$8),"",G9*36+$E9*Assumptions!$B$6+H9+I9)</f>
        <v>2647747.8791684</v>
      </c>
      <c r="L9" s="43" t="n">
        <f aca="false">IF(ISBLANK(Cars!$E$8),"",K9-J9)</f>
        <v>2104964.44186786</v>
      </c>
      <c r="M9" s="44" t="n">
        <f aca="false">IF(ISBLANK(Cars!$E$8),"",L9/(Assumptions!$B$24*IF($B9="EV",Assumptions!$B$27,1)*3))</f>
        <v>58.4712344963294</v>
      </c>
      <c r="N9" s="42" t="n">
        <f aca="false">IF(ISBLANK(Cars!$E$8),"",PMT(Assumptions!$B$5/12,48,-$E9,$E9*Assumptions!$B$6))</f>
        <v>42232.4902879214</v>
      </c>
      <c r="O9" s="42" t="n">
        <f aca="false">IF(ISBLANK(Cars!$E$8),"",(IF($B9="ICE",Assumptions!$B$22/$F9*Assumptions!$B$17+Assumptions!$B$23/($F9*Assumptions!$B$25)*Assumptions!$B$17,Assumptions!$B$22*Assumptions!$B$27*($F9/100)*Assumptions!$B$18+Assumptions!$B$23*Assumptions!$B$27*($F9*Assumptions!$B$26/100)*Assumptions!$B$19))*4)</f>
        <v>513066.666666667</v>
      </c>
      <c r="P9" s="42" t="n">
        <f aca="false">IF(ISBLANK(Cars!$E$8),"",(IF($B9="ICE",Assumptions!$B$30,Assumptions!$B$31)*4)+($E9*IF($B9="ICE",Assumptions!$B$32,Assumptions!$B$33)*(1-(1-Assumptions!$B$34)^4)/Assumptions!$B$34))</f>
        <v>206643.76875</v>
      </c>
      <c r="Q9" s="42" t="n">
        <f aca="false">IF(ISBLANK(Cars!$E$8),"",Assumptions!$B$12*(N9-Assumptions!$B$13)*48)</f>
        <v>557593.77455191</v>
      </c>
      <c r="R9" s="42" t="n">
        <f aca="false">IF(ISBLANK(Cars!$E$8),"",N9*48+$E9*Assumptions!$B$6+O9+P9)</f>
        <v>2925369.96923689</v>
      </c>
      <c r="S9" s="43" t="n">
        <f aca="false">IF(ISBLANK(Cars!$E$8),"",R9-Q9)</f>
        <v>2367776.19468498</v>
      </c>
      <c r="T9" s="44" t="n">
        <f aca="false">IF(ISBLANK(Cars!$E$8),"",S9/(Assumptions!$B$24*IF($B9="EV",Assumptions!$B$27,1)*4))</f>
        <v>49.3286707226038</v>
      </c>
      <c r="U9" s="42" t="n">
        <f aca="false">IF(ISBLANK(Cars!$E$8),"",PMT(Assumptions!$B$5/12,60,-$E9,$E9*Assumptions!$B$6))</f>
        <v>35620.8773286525</v>
      </c>
      <c r="V9" s="42" t="n">
        <f aca="false">IF(ISBLANK(Cars!$E$8),"",(IF($B9="ICE",Assumptions!$B$22/$F9*Assumptions!$B$17+Assumptions!$B$23/($F9*Assumptions!$B$25)*Assumptions!$B$17,Assumptions!$B$22*Assumptions!$B$27*($F9/100)*Assumptions!$B$18+Assumptions!$B$23*Assumptions!$B$27*($F9*Assumptions!$B$26/100)*Assumptions!$B$19))*5)</f>
        <v>641333.333333333</v>
      </c>
      <c r="W9" s="42" t="n">
        <f aca="false">IF(ISBLANK(Cars!$E$8),"",(IF($B9="ICE",Assumptions!$B$30,Assumptions!$B$31)*5)+($E9*IF($B9="ICE",Assumptions!$B$32,Assumptions!$B$33)*(1-(1-Assumptions!$B$34)^5)/Assumptions!$B$34))</f>
        <v>243597.2034375</v>
      </c>
      <c r="X9" s="42" t="n">
        <f aca="false">IF(ISBLANK(Cars!$E$8),"",Assumptions!$B$12*(U9-Assumptions!$B$13)*60)</f>
        <v>573222.823592375</v>
      </c>
      <c r="Y9" s="42" t="n">
        <f aca="false">IF(ISBLANK(Cars!$E$8),"",U9*60+$E9*Assumptions!$B$6+V9+W9)</f>
        <v>3200683.17648998</v>
      </c>
      <c r="Z9" s="43" t="n">
        <f aca="false">IF(ISBLANK(Cars!$E$8),"",Y9-X9)</f>
        <v>2627460.35289761</v>
      </c>
      <c r="AA9" s="44" t="n">
        <f aca="false">IF(ISBLANK(Cars!$E$8),"",Z9/(Assumptions!$B$24*IF($B9="EV",Assumptions!$B$27,1)*5))</f>
        <v>43.7910058816268</v>
      </c>
      <c r="AB9" s="45" t="n">
        <f aca="false">IF(ISBLANK(Cars!$E$8),"",RANK(L9,$L$6:$L$31,1))</f>
        <v>8</v>
      </c>
      <c r="AC9" s="45" t="n">
        <f aca="false">IF(ISBLANK(Cars!$E$8),"",RANK(S9,$S$6:$S$31,1))</f>
        <v>8</v>
      </c>
      <c r="AD9" s="45" t="n">
        <f aca="false">IF(ISBLANK(Cars!$E$8),"",RANK(Z9,$Z$6:$Z$31,1))</f>
        <v>10</v>
      </c>
    </row>
    <row r="10" customFormat="false" ht="22.35" hidden="false" customHeight="false" outlineLevel="0" collapsed="false">
      <c r="A10" s="20" t="n">
        <v>5</v>
      </c>
      <c r="B10" s="37" t="str">
        <f aca="false">Cars!B9</f>
        <v>ICE</v>
      </c>
      <c r="C10" s="38" t="str">
        <f aca="false">Cars!C9</f>
        <v>Honda Elevate</v>
      </c>
      <c r="D10" s="39" t="str">
        <f aca="false">Cars!D9</f>
        <v>ZX CVT Automatic (360° cam via Lite Pack)</v>
      </c>
      <c r="E10" s="40" t="n">
        <f aca="false">Cars!E9</f>
        <v>1865000</v>
      </c>
      <c r="F10" s="41" t="n">
        <f aca="false">Cars!F9</f>
        <v>11</v>
      </c>
      <c r="G10" s="42" t="n">
        <f aca="false">IF(ISBLANK(Cars!$E$9),"",PMT(Assumptions!$B$5/12,36,-$E10,$E10*Assumptions!$B$6))</f>
        <v>55714.6403715229</v>
      </c>
      <c r="H10" s="42" t="n">
        <f aca="false">IF(ISBLANK(Cars!$E$9),"",(IF($B10="ICE",Assumptions!$B$22/$F10*Assumptions!$B$17+Assumptions!$B$23/($F10*Assumptions!$B$25)*Assumptions!$B$17,Assumptions!$B$22*Assumptions!$B$27*($F10/100)*Assumptions!$B$18+Assumptions!$B$23*Assumptions!$B$27*($F10*Assumptions!$B$26/100)*Assumptions!$B$19))*3)</f>
        <v>349818.181818182</v>
      </c>
      <c r="I10" s="42" t="n">
        <f aca="false">IF(ISBLANK(Cars!$E$9),"",(IF($B10="ICE",Assumptions!$B$30,Assumptions!$B$31)*3)+($E10*IF($B10="ICE",Assumptions!$B$32,Assumptions!$B$33)*(1-(1-Assumptions!$B$34)^3)/Assumptions!$B$34))</f>
        <v>170931.375</v>
      </c>
      <c r="J10" s="42" t="n">
        <f aca="false">IF(ISBLANK(Cars!$E$9),"",Assumptions!$B$12*(G10-Assumptions!$B$13)*36)</f>
        <v>569626.840652945</v>
      </c>
      <c r="K10" s="42" t="n">
        <f aca="false">IF(ISBLANK(Cars!$E$9),"",G10*36+$E10*Assumptions!$B$6+H10+I10)</f>
        <v>2712976.61019301</v>
      </c>
      <c r="L10" s="43" t="n">
        <f aca="false">IF(ISBLANK(Cars!$E$9),"",K10-J10)</f>
        <v>2143349.76954006</v>
      </c>
      <c r="M10" s="44" t="n">
        <f aca="false">IF(ISBLANK(Cars!$E$9),"",L10/(Assumptions!$B$24*IF($B10="EV",Assumptions!$B$27,1)*3))</f>
        <v>59.537493598335</v>
      </c>
      <c r="N10" s="42" t="n">
        <f aca="false">IF(ISBLANK(Cars!$E$9),"",PMT(Assumptions!$B$5/12,48,-$E10,$E10*Assumptions!$B$6))</f>
        <v>44125.2629618898</v>
      </c>
      <c r="O10" s="42" t="n">
        <f aca="false">IF(ISBLANK(Cars!$E$9),"",(IF($B10="ICE",Assumptions!$B$22/$F10*Assumptions!$B$17+Assumptions!$B$23/($F10*Assumptions!$B$25)*Assumptions!$B$17,Assumptions!$B$22*Assumptions!$B$27*($F10/100)*Assumptions!$B$18+Assumptions!$B$23*Assumptions!$B$27*($F10*Assumptions!$B$26/100)*Assumptions!$B$19))*4)</f>
        <v>466424.242424242</v>
      </c>
      <c r="P10" s="42" t="n">
        <f aca="false">IF(ISBLANK(Cars!$E$9),"",(IF($B10="ICE",Assumptions!$B$30,Assumptions!$B$31)*4)+($E10*IF($B10="ICE",Assumptions!$B$32,Assumptions!$B$33)*(1-(1-Assumptions!$B$34)^4)/Assumptions!$B$34))</f>
        <v>214291.66875</v>
      </c>
      <c r="Q10" s="42" t="n">
        <f aca="false">IF(ISBLANK(Cars!$E$9),"",Assumptions!$B$12*(N10-Assumptions!$B$13)*48)</f>
        <v>585939.938117262</v>
      </c>
      <c r="R10" s="42" t="n">
        <f aca="false">IF(ISBLANK(Cars!$E$9),"",N10*48+$E10*Assumptions!$B$6+O10+P10)</f>
        <v>2985228.53334495</v>
      </c>
      <c r="S10" s="43" t="n">
        <f aca="false">IF(ISBLANK(Cars!$E$9),"",R10-Q10)</f>
        <v>2399288.59522769</v>
      </c>
      <c r="T10" s="44" t="n">
        <f aca="false">IF(ISBLANK(Cars!$E$9),"",S10/(Assumptions!$B$24*IF($B10="EV",Assumptions!$B$27,1)*4))</f>
        <v>49.9851790672436</v>
      </c>
      <c r="U10" s="42" t="n">
        <f aca="false">IF(ISBLANK(Cars!$E$9),"",PMT(Assumptions!$B$5/12,60,-$E10,$E10*Assumptions!$B$6))</f>
        <v>37217.3312145305</v>
      </c>
      <c r="V10" s="42" t="n">
        <f aca="false">IF(ISBLANK(Cars!$E$9),"",(IF($B10="ICE",Assumptions!$B$22/$F10*Assumptions!$B$17+Assumptions!$B$23/($F10*Assumptions!$B$25)*Assumptions!$B$17,Assumptions!$B$22*Assumptions!$B$27*($F10/100)*Assumptions!$B$18+Assumptions!$B$23*Assumptions!$B$27*($F10*Assumptions!$B$26/100)*Assumptions!$B$19))*5)</f>
        <v>583030.303030303</v>
      </c>
      <c r="W10" s="42" t="n">
        <f aca="false">IF(ISBLANK(Cars!$E$9),"",(IF($B10="ICE",Assumptions!$B$30,Assumptions!$B$31)*5)+($E10*IF($B10="ICE",Assumptions!$B$32,Assumptions!$B$33)*(1-(1-Assumptions!$B$34)^5)/Assumptions!$B$34))</f>
        <v>252497.9184375</v>
      </c>
      <c r="X10" s="42" t="n">
        <f aca="false">IF(ISBLANK(Cars!$E$9),"",Assumptions!$B$12*(U10-Assumptions!$B$13)*60)</f>
        <v>603108.44033601</v>
      </c>
      <c r="Y10" s="42" t="n">
        <f aca="false">IF(ISBLANK(Cars!$E$9),"",U10*60+$E10*Assumptions!$B$6+V10+W10)</f>
        <v>3255068.09433963</v>
      </c>
      <c r="Z10" s="43" t="n">
        <f aca="false">IF(ISBLANK(Cars!$E$9),"",Y10-X10)</f>
        <v>2651959.65400362</v>
      </c>
      <c r="AA10" s="44" t="n">
        <f aca="false">IF(ISBLANK(Cars!$E$9),"",Z10/(Assumptions!$B$24*IF($B10="EV",Assumptions!$B$27,1)*5))</f>
        <v>44.199327566727</v>
      </c>
      <c r="AB10" s="45" t="n">
        <f aca="false">IF(ISBLANK(Cars!$E$9),"",RANK(L10,$L$6:$L$31,1))</f>
        <v>9</v>
      </c>
      <c r="AC10" s="45" t="n">
        <f aca="false">IF(ISBLANK(Cars!$E$9),"",RANK(S10,$S$6:$S$31,1))</f>
        <v>10</v>
      </c>
      <c r="AD10" s="45" t="n">
        <f aca="false">IF(ISBLANK(Cars!$E$9),"",RANK(Z10,$Z$6:$Z$31,1))</f>
        <v>12</v>
      </c>
    </row>
    <row r="11" customFormat="false" ht="15" hidden="false" customHeight="false" outlineLevel="0" collapsed="false">
      <c r="A11" s="20" t="n">
        <v>6</v>
      </c>
      <c r="B11" s="37" t="str">
        <f aca="false">Cars!B10</f>
        <v>EV</v>
      </c>
      <c r="C11" s="38" t="str">
        <f aca="false">Cars!C10</f>
        <v>Tata Curvv EV</v>
      </c>
      <c r="D11" s="39" t="str">
        <f aca="false">Cars!D10</f>
        <v>Accomplished X, 55kWh</v>
      </c>
      <c r="E11" s="40" t="n">
        <f aca="false">Cars!E10</f>
        <v>1775000</v>
      </c>
      <c r="F11" s="41" t="n">
        <f aca="false">Cars!F10</f>
        <v>14</v>
      </c>
      <c r="G11" s="42" t="n">
        <f aca="false">IF(ISBLANK(Cars!$E$10),"",PMT(Assumptions!$B$5/12,36,-$E11,$E11*Assumptions!$B$6))</f>
        <v>53025.9982088221</v>
      </c>
      <c r="H11" s="42" t="n">
        <f aca="false">IF(ISBLANK(Cars!$E$10),"",(IF($B11="ICE",Assumptions!$B$22/$F11*Assumptions!$B$17+Assumptions!$B$23/($F11*Assumptions!$B$25)*Assumptions!$B$17,Assumptions!$B$22*Assumptions!$B$27*($F11/100)*Assumptions!$B$18+Assumptions!$B$23*Assumptions!$B$27*($F11*Assumptions!$B$26/100)*Assumptions!$B$19))*3)</f>
        <v>65520</v>
      </c>
      <c r="I11" s="42" t="n">
        <f aca="false">IF(ISBLANK(Cars!$E$10),"",(IF($B11="ICE",Assumptions!$B$30,Assumptions!$B$31)*3)+($E11*IF($B11="ICE",Assumptions!$B$32,Assumptions!$B$33)*(1-(1-Assumptions!$B$34)^3)/Assumptions!$B$34))</f>
        <v>187015.125</v>
      </c>
      <c r="J11" s="42" t="n">
        <f aca="false">IF(ISBLANK(Cars!$E$10),"",Assumptions!$B$12*(G11-Assumptions!$B$13)*36)</f>
        <v>539428.011881489</v>
      </c>
      <c r="K11" s="42" t="n">
        <f aca="false">IF(ISBLANK(Cars!$E$10),"",G11*36+$E11*Assumptions!$B$6+H11+I11)</f>
        <v>2338971.06051759</v>
      </c>
      <c r="L11" s="43" t="n">
        <f aca="false">IF(ISBLANK(Cars!$E$10),"",K11-J11)</f>
        <v>1799543.0486361</v>
      </c>
      <c r="M11" s="44" t="n">
        <f aca="false">IF(ISBLANK(Cars!$E$10),"",L11/(Assumptions!$B$24*IF($B11="EV",Assumptions!$B$27,1)*3))</f>
        <v>49.9873069065585</v>
      </c>
      <c r="N11" s="42" t="n">
        <f aca="false">IF(ISBLANK(Cars!$E$10),"",PMT(Assumptions!$B$5/12,48,-$E11,$E11*Assumptions!$B$6))</f>
        <v>41995.8937036753</v>
      </c>
      <c r="O11" s="42" t="n">
        <f aca="false">IF(ISBLANK(Cars!$E$10),"",(IF($B11="ICE",Assumptions!$B$22/$F11*Assumptions!$B$17+Assumptions!$B$23/($F11*Assumptions!$B$25)*Assumptions!$B$17,Assumptions!$B$22*Assumptions!$B$27*($F11/100)*Assumptions!$B$18+Assumptions!$B$23*Assumptions!$B$27*($F11*Assumptions!$B$26/100)*Assumptions!$B$19))*4)</f>
        <v>87360</v>
      </c>
      <c r="P11" s="42" t="n">
        <f aca="false">IF(ISBLANK(Cars!$E$10),"",(IF($B11="ICE",Assumptions!$B$30,Assumptions!$B$31)*4)+($E11*IF($B11="ICE",Assumptions!$B$32,Assumptions!$B$33)*(1-(1-Assumptions!$B$34)^4)/Assumptions!$B$34))</f>
        <v>232937.85625</v>
      </c>
      <c r="Q11" s="42" t="n">
        <f aca="false">IF(ISBLANK(Cars!$E$10),"",Assumptions!$B$12*(N11-Assumptions!$B$13)*48)</f>
        <v>554050.504106241</v>
      </c>
      <c r="R11" s="42" t="n">
        <f aca="false">IF(ISBLANK(Cars!$E$10),"",N11*48+$E11*Assumptions!$B$6+O11+P11)</f>
        <v>2513600.75402641</v>
      </c>
      <c r="S11" s="43" t="n">
        <f aca="false">IF(ISBLANK(Cars!$E$10),"",R11-Q11)</f>
        <v>1959550.24992017</v>
      </c>
      <c r="T11" s="44" t="n">
        <f aca="false">IF(ISBLANK(Cars!$E$10),"",S11/(Assumptions!$B$24*IF($B11="EV",Assumptions!$B$27,1)*4))</f>
        <v>40.8239635400036</v>
      </c>
      <c r="U11" s="42" t="n">
        <f aca="false">IF(ISBLANK(Cars!$E$10),"",PMT(Assumptions!$B$5/12,60,-$E11,$E11*Assumptions!$B$6))</f>
        <v>35421.3205929177</v>
      </c>
      <c r="V11" s="42" t="n">
        <f aca="false">IF(ISBLANK(Cars!$E$10),"",(IF($B11="ICE",Assumptions!$B$22/$F11*Assumptions!$B$17+Assumptions!$B$23/($F11*Assumptions!$B$25)*Assumptions!$B$17,Assumptions!$B$22*Assumptions!$B$27*($F11/100)*Assumptions!$B$18+Assumptions!$B$23*Assumptions!$B$27*($F11*Assumptions!$B$26/100)*Assumptions!$B$19))*5)</f>
        <v>109200</v>
      </c>
      <c r="W11" s="42" t="n">
        <f aca="false">IF(ISBLANK(Cars!$E$10),"",(IF($B11="ICE",Assumptions!$B$30,Assumptions!$B$31)*5)+($E11*IF($B11="ICE",Assumptions!$B$32,Assumptions!$B$33)*(1-(1-Assumptions!$B$34)^5)/Assumptions!$B$34))</f>
        <v>272647.1778125</v>
      </c>
      <c r="X11" s="42" t="n">
        <f aca="false">IF(ISBLANK(Cars!$E$10),"",Assumptions!$B$12*(U11-Assumptions!$B$13)*60)</f>
        <v>569487.12149942</v>
      </c>
      <c r="Y11" s="42" t="n">
        <f aca="false">IF(ISBLANK(Cars!$E$10),"",U11*60+$E11*Assumptions!$B$6+V11+W11)</f>
        <v>2684626.41338756</v>
      </c>
      <c r="Z11" s="43" t="n">
        <f aca="false">IF(ISBLANK(Cars!$E$10),"",Y11-X11)</f>
        <v>2115139.29188814</v>
      </c>
      <c r="AA11" s="44" t="n">
        <f aca="false">IF(ISBLANK(Cars!$E$10),"",Z11/(Assumptions!$B$24*IF($B11="EV",Assumptions!$B$27,1)*5))</f>
        <v>35.2523215314691</v>
      </c>
      <c r="AB11" s="45" t="n">
        <f aca="false">IF(ISBLANK(Cars!$E$10),"",RANK(L11,$L$6:$L$31,1))</f>
        <v>3</v>
      </c>
      <c r="AC11" s="45" t="n">
        <f aca="false">IF(ISBLANK(Cars!$E$10),"",RANK(S11,$S$6:$S$31,1))</f>
        <v>3</v>
      </c>
      <c r="AD11" s="45" t="n">
        <f aca="false">IF(ISBLANK(Cars!$E$10),"",RANK(Z11,$Z$6:$Z$31,1))</f>
        <v>2</v>
      </c>
    </row>
    <row r="12" customFormat="false" ht="15" hidden="false" customHeight="false" outlineLevel="0" collapsed="false">
      <c r="A12" s="20" t="n">
        <v>7</v>
      </c>
      <c r="B12" s="37" t="str">
        <f aca="false">Cars!B11</f>
        <v>EV</v>
      </c>
      <c r="C12" s="38" t="str">
        <f aca="false">Cars!C11</f>
        <v>Hyundai Creta Electric</v>
      </c>
      <c r="D12" s="39" t="str">
        <f aca="false">Cars!D11</f>
        <v>Excellence, 42kWh (360° cam)</v>
      </c>
      <c r="E12" s="40" t="n">
        <f aca="false">Cars!E11</f>
        <v>2250000</v>
      </c>
      <c r="F12" s="41" t="n">
        <f aca="false">Cars!F11</f>
        <v>13.5</v>
      </c>
      <c r="G12" s="42" t="n">
        <f aca="false">IF(ISBLANK(Cars!$E$11),"",PMT(Assumptions!$B$5/12,36,-$E12,$E12*Assumptions!$B$6))</f>
        <v>67216.0540675209</v>
      </c>
      <c r="H12" s="42" t="n">
        <f aca="false">IF(ISBLANK(Cars!$E$11),"",(IF($B12="ICE",Assumptions!$B$22/$F12*Assumptions!$B$17+Assumptions!$B$23/($F12*Assumptions!$B$25)*Assumptions!$B$17,Assumptions!$B$22*Assumptions!$B$27*($F12/100)*Assumptions!$B$18+Assumptions!$B$23*Assumptions!$B$27*($F12*Assumptions!$B$26/100)*Assumptions!$B$19))*3)</f>
        <v>63180</v>
      </c>
      <c r="I12" s="42" t="n">
        <f aca="false">IF(ISBLANK(Cars!$E$11),"",(IF($B12="ICE",Assumptions!$B$30,Assumptions!$B$31)*3)+($E12*IF($B12="ICE",Assumptions!$B$32,Assumptions!$B$33)*(1-(1-Assumptions!$B$34)^3)/Assumptions!$B$34))</f>
        <v>233448.75</v>
      </c>
      <c r="J12" s="42" t="n">
        <f aca="false">IF(ISBLANK(Cars!$E$11),"",Assumptions!$B$12*(G12-Assumptions!$B$13)*36)</f>
        <v>698810.719286395</v>
      </c>
      <c r="K12" s="42" t="n">
        <f aca="false">IF(ISBLANK(Cars!$E$11),"",G12*36+$E12*Assumptions!$B$6+H12+I12)</f>
        <v>2941406.69643075</v>
      </c>
      <c r="L12" s="43" t="n">
        <f aca="false">IF(ISBLANK(Cars!$E$11),"",K12-J12)</f>
        <v>2242595.97714436</v>
      </c>
      <c r="M12" s="44" t="n">
        <f aca="false">IF(ISBLANK(Cars!$E$11),"",L12/(Assumptions!$B$24*IF($B12="EV",Assumptions!$B$27,1)*3))</f>
        <v>62.2943326984544</v>
      </c>
      <c r="N12" s="42" t="n">
        <f aca="false">IF(ISBLANK(Cars!$E$11),"",PMT(Assumptions!$B$5/12,48,-$E12,$E12*Assumptions!$B$6))</f>
        <v>53234.2314553631</v>
      </c>
      <c r="O12" s="42" t="n">
        <f aca="false">IF(ISBLANK(Cars!$E$11),"",(IF($B12="ICE",Assumptions!$B$22/$F12*Assumptions!$B$17+Assumptions!$B$23/($F12*Assumptions!$B$25)*Assumptions!$B$17,Assumptions!$B$22*Assumptions!$B$27*($F12/100)*Assumptions!$B$18+Assumptions!$B$23*Assumptions!$B$27*($F12*Assumptions!$B$26/100)*Assumptions!$B$19))*4)</f>
        <v>84240</v>
      </c>
      <c r="P12" s="42" t="n">
        <f aca="false">IF(ISBLANK(Cars!$E$11),"",(IF($B12="ICE",Assumptions!$B$30,Assumptions!$B$31)*4)+($E12*IF($B12="ICE",Assumptions!$B$32,Assumptions!$B$33)*(1-(1-Assumptions!$B$34)^4)/Assumptions!$B$34))</f>
        <v>290456.4375</v>
      </c>
      <c r="Q12" s="42" t="n">
        <f aca="false">IF(ISBLANK(Cars!$E$11),"",Assumptions!$B$12*(N12-Assumptions!$B$13)*48)</f>
        <v>722355.850275517</v>
      </c>
      <c r="R12" s="42" t="n">
        <f aca="false">IF(ISBLANK(Cars!$E$11),"",N12*48+$E12*Assumptions!$B$6+O12+P12)</f>
        <v>3154939.54735743</v>
      </c>
      <c r="S12" s="43" t="n">
        <f aca="false">IF(ISBLANK(Cars!$E$11),"",R12-Q12)</f>
        <v>2432583.69708191</v>
      </c>
      <c r="T12" s="44" t="n">
        <f aca="false">IF(ISBLANK(Cars!$E$11),"",S12/(Assumptions!$B$24*IF($B12="EV",Assumptions!$B$27,1)*4))</f>
        <v>50.6788270225398</v>
      </c>
      <c r="U12" s="42" t="n">
        <f aca="false">IF(ISBLANK(Cars!$E$11),"",PMT(Assumptions!$B$5/12,60,-$E12,$E12*Assumptions!$B$6))</f>
        <v>44900.2655403183</v>
      </c>
      <c r="V12" s="42" t="n">
        <f aca="false">IF(ISBLANK(Cars!$E$11),"",(IF($B12="ICE",Assumptions!$B$22/$F12*Assumptions!$B$17+Assumptions!$B$23/($F12*Assumptions!$B$25)*Assumptions!$B$17,Assumptions!$B$22*Assumptions!$B$27*($F12/100)*Assumptions!$B$18+Assumptions!$B$23*Assumptions!$B$27*($F12*Assumptions!$B$26/100)*Assumptions!$B$19))*5)</f>
        <v>105300</v>
      </c>
      <c r="W12" s="42" t="n">
        <f aca="false">IF(ISBLANK(Cars!$E$11),"",(IF($B12="ICE",Assumptions!$B$30,Assumptions!$B$31)*5)+($E12*IF($B12="ICE",Assumptions!$B$32,Assumptions!$B$33)*(1-(1-Assumptions!$B$34)^5)/Assumptions!$B$34))</f>
        <v>339587.971875</v>
      </c>
      <c r="X12" s="42" t="n">
        <f aca="false">IF(ISBLANK(Cars!$E$11),"",Assumptions!$B$12*(U12-Assumptions!$B$13)*60)</f>
        <v>746932.970914758</v>
      </c>
      <c r="Y12" s="42" t="n">
        <f aca="false">IF(ISBLANK(Cars!$E$11),"",U12*60+$E12*Assumptions!$B$6+V12+W12)</f>
        <v>3363903.9042941</v>
      </c>
      <c r="Z12" s="43" t="n">
        <f aca="false">IF(ISBLANK(Cars!$E$11),"",Y12-X12)</f>
        <v>2616970.93337934</v>
      </c>
      <c r="AA12" s="44" t="n">
        <f aca="false">IF(ISBLANK(Cars!$E$11),"",Z12/(Assumptions!$B$24*IF($B12="EV",Assumptions!$B$27,1)*5))</f>
        <v>43.616182222989</v>
      </c>
      <c r="AB12" s="45" t="n">
        <f aca="false">IF(ISBLANK(Cars!$E$11),"",RANK(L12,$L$6:$L$31,1))</f>
        <v>12</v>
      </c>
      <c r="AC12" s="45" t="n">
        <f aca="false">IF(ISBLANK(Cars!$E$11),"",RANK(S12,$S$6:$S$31,1))</f>
        <v>12</v>
      </c>
      <c r="AD12" s="45" t="n">
        <f aca="false">IF(ISBLANK(Cars!$E$11),"",RANK(Z12,$Z$6:$Z$31,1))</f>
        <v>9</v>
      </c>
    </row>
    <row r="13" customFormat="false" ht="15" hidden="false" customHeight="false" outlineLevel="0" collapsed="false">
      <c r="A13" s="20" t="n">
        <v>8</v>
      </c>
      <c r="B13" s="37" t="str">
        <f aca="false">Cars!B12</f>
        <v>EV</v>
      </c>
      <c r="C13" s="38" t="str">
        <f aca="false">Cars!C12</f>
        <v>Hyundai Creta Electric</v>
      </c>
      <c r="D13" s="39" t="str">
        <f aca="false">Cars!D12</f>
        <v>Excellence LR, 51.4kWh (360° cam)</v>
      </c>
      <c r="E13" s="40" t="n">
        <f aca="false">Cars!E12</f>
        <v>2530000</v>
      </c>
      <c r="F13" s="41" t="n">
        <f aca="false">Cars!F12</f>
        <v>13.9</v>
      </c>
      <c r="G13" s="42" t="n">
        <f aca="false">IF(ISBLANK(Cars!$E$12),"",PMT(Assumptions!$B$5/12,36,-$E13,$E13*Assumptions!$B$6))</f>
        <v>75580.7185737013</v>
      </c>
      <c r="H13" s="42" t="n">
        <f aca="false">IF(ISBLANK(Cars!$E$12),"",(IF($B13="ICE",Assumptions!$B$22/$F13*Assumptions!$B$17+Assumptions!$B$23/($F13*Assumptions!$B$25)*Assumptions!$B$17,Assumptions!$B$22*Assumptions!$B$27*($F13/100)*Assumptions!$B$18+Assumptions!$B$23*Assumptions!$B$27*($F13*Assumptions!$B$26/100)*Assumptions!$B$19))*3)</f>
        <v>65052</v>
      </c>
      <c r="I13" s="42" t="n">
        <f aca="false">IF(ISBLANK(Cars!$E$12),"",(IF($B13="ICE",Assumptions!$B$30,Assumptions!$B$31)*3)+($E13*IF($B13="ICE",Assumptions!$B$32,Assumptions!$B$33)*(1-(1-Assumptions!$B$34)^3)/Assumptions!$B$34))</f>
        <v>260820.15</v>
      </c>
      <c r="J13" s="42" t="n">
        <f aca="false">IF(ISBLANK(Cars!$E$12),"",Assumptions!$B$12*(G13-Assumptions!$B$13)*36)</f>
        <v>792762.631019813</v>
      </c>
      <c r="K13" s="42" t="n">
        <f aca="false">IF(ISBLANK(Cars!$E$12),"",G13*36+$E13*Assumptions!$B$6+H13+I13)</f>
        <v>3299778.01865325</v>
      </c>
      <c r="L13" s="43" t="n">
        <f aca="false">IF(ISBLANK(Cars!$E$12),"",K13-J13)</f>
        <v>2507015.38763343</v>
      </c>
      <c r="M13" s="44" t="n">
        <f aca="false">IF(ISBLANK(Cars!$E$12),"",L13/(Assumptions!$B$24*IF($B13="EV",Assumptions!$B$27,1)*3))</f>
        <v>69.6393163231509</v>
      </c>
      <c r="N13" s="42" t="n">
        <f aca="false">IF(ISBLANK(Cars!$E$12),"",PMT(Assumptions!$B$5/12,48,-$E13,$E13*Assumptions!$B$6))</f>
        <v>59858.9358142527</v>
      </c>
      <c r="O13" s="42" t="n">
        <f aca="false">IF(ISBLANK(Cars!$E$12),"",(IF($B13="ICE",Assumptions!$B$22/$F13*Assumptions!$B$17+Assumptions!$B$23/($F13*Assumptions!$B$25)*Assumptions!$B$17,Assumptions!$B$22*Assumptions!$B$27*($F13/100)*Assumptions!$B$18+Assumptions!$B$23*Assumptions!$B$27*($F13*Assumptions!$B$26/100)*Assumptions!$B$19))*4)</f>
        <v>86736</v>
      </c>
      <c r="P13" s="42" t="n">
        <f aca="false">IF(ISBLANK(Cars!$E$12),"",(IF($B13="ICE",Assumptions!$B$30,Assumptions!$B$31)*4)+($E13*IF($B13="ICE",Assumptions!$B$32,Assumptions!$B$33)*(1-(1-Assumptions!$B$34)^4)/Assumptions!$B$34))</f>
        <v>324362.1275</v>
      </c>
      <c r="Q13" s="42" t="n">
        <f aca="false">IF(ISBLANK(Cars!$E$12),"",Assumptions!$B$12*(N13-Assumptions!$B$13)*48)</f>
        <v>821567.422754248</v>
      </c>
      <c r="R13" s="42" t="n">
        <f aca="false">IF(ISBLANK(Cars!$E$12),"",N13*48+$E13*Assumptions!$B$6+O13+P13)</f>
        <v>3537327.04658413</v>
      </c>
      <c r="S13" s="43" t="n">
        <f aca="false">IF(ISBLANK(Cars!$E$12),"",R13-Q13)</f>
        <v>2715759.62382988</v>
      </c>
      <c r="T13" s="44" t="n">
        <f aca="false">IF(ISBLANK(Cars!$E$12),"",S13/(Assumptions!$B$24*IF($B13="EV",Assumptions!$B$27,1)*4))</f>
        <v>56.5783254964559</v>
      </c>
      <c r="U13" s="42" t="n">
        <f aca="false">IF(ISBLANK(Cars!$E$12),"",PMT(Assumptions!$B$5/12,60,-$E13,$E13*Assumptions!$B$6))</f>
        <v>50487.8541408912</v>
      </c>
      <c r="V13" s="42" t="n">
        <f aca="false">IF(ISBLANK(Cars!$E$12),"",(IF($B13="ICE",Assumptions!$B$22/$F13*Assumptions!$B$17+Assumptions!$B$23/($F13*Assumptions!$B$25)*Assumptions!$B$17,Assumptions!$B$22*Assumptions!$B$27*($F13/100)*Assumptions!$B$18+Assumptions!$B$23*Assumptions!$B$27*($F13*Assumptions!$B$26/100)*Assumptions!$B$19))*5)</f>
        <v>108420</v>
      </c>
      <c r="W13" s="42" t="n">
        <f aca="false">IF(ISBLANK(Cars!$E$12),"",(IF($B13="ICE",Assumptions!$B$30,Assumptions!$B$31)*5)+($E13*IF($B13="ICE",Assumptions!$B$32,Assumptions!$B$33)*(1-(1-Assumptions!$B$34)^5)/Assumptions!$B$34))</f>
        <v>379047.808375</v>
      </c>
      <c r="X13" s="42" t="n">
        <f aca="false">IF(ISBLANK(Cars!$E$12),"",Assumptions!$B$12*(U13-Assumptions!$B$13)*60)</f>
        <v>851532.629517483</v>
      </c>
      <c r="Y13" s="42" t="n">
        <f aca="false">IF(ISBLANK(Cars!$E$12),"",U13*60+$E13*Assumptions!$B$6+V13+W13)</f>
        <v>3769739.05682847</v>
      </c>
      <c r="Z13" s="43" t="n">
        <f aca="false">IF(ISBLANK(Cars!$E$12),"",Y13-X13)</f>
        <v>2918206.42731099</v>
      </c>
      <c r="AA13" s="44" t="n">
        <f aca="false">IF(ISBLANK(Cars!$E$12),"",Z13/(Assumptions!$B$24*IF($B13="EV",Assumptions!$B$27,1)*5))</f>
        <v>48.6367737885165</v>
      </c>
      <c r="AB13" s="45" t="n">
        <f aca="false">IF(ISBLANK(Cars!$E$12),"",RANK(L13,$L$6:$L$31,1))</f>
        <v>14</v>
      </c>
      <c r="AC13" s="45" t="n">
        <f aca="false">IF(ISBLANK(Cars!$E$12),"",RANK(S13,$S$6:$S$31,1))</f>
        <v>14</v>
      </c>
      <c r="AD13" s="45" t="n">
        <f aca="false">IF(ISBLANK(Cars!$E$12),"",RANK(Z13,$Z$6:$Z$31,1))</f>
        <v>14</v>
      </c>
    </row>
    <row r="14" customFormat="false" ht="15" hidden="false" customHeight="false" outlineLevel="0" collapsed="false">
      <c r="A14" s="20" t="n">
        <v>9</v>
      </c>
      <c r="B14" s="37" t="str">
        <f aca="false">Cars!B13</f>
        <v>EV</v>
      </c>
      <c r="C14" s="38" t="str">
        <f aca="false">Cars!C13</f>
        <v>MG Windsor EV</v>
      </c>
      <c r="D14" s="39" t="str">
        <f aca="false">Cars!D13</f>
        <v>Essence Pro, 52.9kWh (360° cam)</v>
      </c>
      <c r="E14" s="40" t="n">
        <f aca="false">Cars!E13</f>
        <v>1980000</v>
      </c>
      <c r="F14" s="41" t="n">
        <f aca="false">Cars!F13</f>
        <v>13.2</v>
      </c>
      <c r="G14" s="42" t="n">
        <f aca="false">IF(ISBLANK(Cars!$E$13),"",PMT(Assumptions!$B$5/12,36,-$E14,$E14*Assumptions!$B$6))</f>
        <v>59150.1275794184</v>
      </c>
      <c r="H14" s="42" t="n">
        <f aca="false">IF(ISBLANK(Cars!$E$13),"",(IF($B14="ICE",Assumptions!$B$22/$F14*Assumptions!$B$17+Assumptions!$B$23/($F14*Assumptions!$B$25)*Assumptions!$B$17,Assumptions!$B$22*Assumptions!$B$27*($F14/100)*Assumptions!$B$18+Assumptions!$B$23*Assumptions!$B$27*($F14*Assumptions!$B$26/100)*Assumptions!$B$19))*3)</f>
        <v>61776</v>
      </c>
      <c r="I14" s="42" t="n">
        <f aca="false">IF(ISBLANK(Cars!$E$13),"",(IF($B14="ICE",Assumptions!$B$30,Assumptions!$B$31)*3)+($E14*IF($B14="ICE",Assumptions!$B$32,Assumptions!$B$33)*(1-(1-Assumptions!$B$34)^3)/Assumptions!$B$34))</f>
        <v>207054.9</v>
      </c>
      <c r="J14" s="42" t="n">
        <f aca="false">IF(ISBLANK(Cars!$E$13),"",Assumptions!$B$12*(G14-Assumptions!$B$13)*36)</f>
        <v>608214.232972028</v>
      </c>
      <c r="K14" s="42" t="n">
        <f aca="false">IF(ISBLANK(Cars!$E$13),"",G14*36+$E14*Assumptions!$B$6+H14+I14)</f>
        <v>2596235.49285906</v>
      </c>
      <c r="L14" s="43" t="n">
        <f aca="false">IF(ISBLANK(Cars!$E$13),"",K14-J14)</f>
        <v>1988021.25988703</v>
      </c>
      <c r="M14" s="44" t="n">
        <f aca="false">IF(ISBLANK(Cars!$E$13),"",L14/(Assumptions!$B$24*IF($B14="EV",Assumptions!$B$27,1)*3))</f>
        <v>55.2228127746399</v>
      </c>
      <c r="N14" s="42" t="n">
        <f aca="false">IF(ISBLANK(Cars!$E$13),"",PMT(Assumptions!$B$5/12,48,-$E14,$E14*Assumptions!$B$6))</f>
        <v>46846.1236807195</v>
      </c>
      <c r="O14" s="42" t="n">
        <f aca="false">IF(ISBLANK(Cars!$E$13),"",(IF($B14="ICE",Assumptions!$B$22/$F14*Assumptions!$B$17+Assumptions!$B$23/($F14*Assumptions!$B$25)*Assumptions!$B$17,Assumptions!$B$22*Assumptions!$B$27*($F14/100)*Assumptions!$B$18+Assumptions!$B$23*Assumptions!$B$27*($F14*Assumptions!$B$26/100)*Assumptions!$B$19))*4)</f>
        <v>82368</v>
      </c>
      <c r="P14" s="42" t="n">
        <f aca="false">IF(ISBLANK(Cars!$E$13),"",(IF($B14="ICE",Assumptions!$B$30,Assumptions!$B$31)*4)+($E14*IF($B14="ICE",Assumptions!$B$32,Assumptions!$B$33)*(1-(1-Assumptions!$B$34)^4)/Assumptions!$B$34))</f>
        <v>257761.665</v>
      </c>
      <c r="Q14" s="42" t="n">
        <f aca="false">IF(ISBLANK(Cars!$E$13),"",Assumptions!$B$12*(N14-Assumptions!$B$13)*48)</f>
        <v>626687.548242455</v>
      </c>
      <c r="R14" s="42" t="n">
        <f aca="false">IF(ISBLANK(Cars!$E$13),"",N14*48+$E14*Assumptions!$B$6+O14+P14)</f>
        <v>2786743.60167454</v>
      </c>
      <c r="S14" s="43" t="n">
        <f aca="false">IF(ISBLANK(Cars!$E$13),"",R14-Q14)</f>
        <v>2160056.05343208</v>
      </c>
      <c r="T14" s="44" t="n">
        <f aca="false">IF(ISBLANK(Cars!$E$13),"",S14/(Assumptions!$B$24*IF($B14="EV",Assumptions!$B$27,1)*4))</f>
        <v>45.001167779835</v>
      </c>
      <c r="U14" s="42" t="n">
        <f aca="false">IF(ISBLANK(Cars!$E$13),"",PMT(Assumptions!$B$5/12,60,-$E14,$E14*Assumptions!$B$6))</f>
        <v>39512.2336754801</v>
      </c>
      <c r="V14" s="42" t="n">
        <f aca="false">IF(ISBLANK(Cars!$E$13),"",(IF($B14="ICE",Assumptions!$B$22/$F14*Assumptions!$B$17+Assumptions!$B$23/($F14*Assumptions!$B$25)*Assumptions!$B$17,Assumptions!$B$22*Assumptions!$B$27*($F14/100)*Assumptions!$B$18+Assumptions!$B$23*Assumptions!$B$27*($F14*Assumptions!$B$26/100)*Assumptions!$B$19))*5)</f>
        <v>102960</v>
      </c>
      <c r="W14" s="42" t="n">
        <f aca="false">IF(ISBLANK(Cars!$E$13),"",(IF($B14="ICE",Assumptions!$B$30,Assumptions!$B$31)*5)+($E14*IF($B14="ICE",Assumptions!$B$32,Assumptions!$B$33)*(1-(1-Assumptions!$B$34)^5)/Assumptions!$B$34))</f>
        <v>301537.41525</v>
      </c>
      <c r="X14" s="42" t="n">
        <f aca="false">IF(ISBLANK(Cars!$E$13),"",Assumptions!$B$12*(U14-Assumptions!$B$13)*60)</f>
        <v>646069.014404987</v>
      </c>
      <c r="Y14" s="42" t="n">
        <f aca="false">IF(ISBLANK(Cars!$E$13),"",U14*60+$E14*Assumptions!$B$6+V14+W14)</f>
        <v>2973231.4357788</v>
      </c>
      <c r="Z14" s="43" t="n">
        <f aca="false">IF(ISBLANK(Cars!$E$13),"",Y14-X14)</f>
        <v>2327162.42137382</v>
      </c>
      <c r="AA14" s="44" t="n">
        <f aca="false">IF(ISBLANK(Cars!$E$13),"",Z14/(Assumptions!$B$24*IF($B14="EV",Assumptions!$B$27,1)*5))</f>
        <v>38.7860403562303</v>
      </c>
      <c r="AB14" s="45" t="n">
        <f aca="false">IF(ISBLANK(Cars!$E$13),"",RANK(L14,$L$6:$L$31,1))</f>
        <v>6</v>
      </c>
      <c r="AC14" s="45" t="n">
        <f aca="false">IF(ISBLANK(Cars!$E$13),"",RANK(S14,$S$6:$S$31,1))</f>
        <v>6</v>
      </c>
      <c r="AD14" s="45" t="n">
        <f aca="false">IF(ISBLANK(Cars!$E$13),"",RANK(Z14,$Z$6:$Z$31,1))</f>
        <v>6</v>
      </c>
    </row>
    <row r="15" customFormat="false" ht="15" hidden="false" customHeight="false" outlineLevel="0" collapsed="false">
      <c r="A15" s="20" t="n">
        <v>10</v>
      </c>
      <c r="B15" s="37" t="str">
        <f aca="false">Cars!B14</f>
        <v>EV</v>
      </c>
      <c r="C15" s="38" t="str">
        <f aca="false">Cars!C14</f>
        <v>Mahindra XUV 3XO EV</v>
      </c>
      <c r="D15" s="39" t="str">
        <f aca="false">Cars!D14</f>
        <v>AX7L (top, 360° cam standard)</v>
      </c>
      <c r="E15" s="40" t="n">
        <f aca="false">Cars!E14</f>
        <v>1643000</v>
      </c>
      <c r="F15" s="41" t="n">
        <f aca="false">Cars!F14</f>
        <v>13.8</v>
      </c>
      <c r="G15" s="42" t="n">
        <f aca="false">IF(ISBLANK(Cars!$E$14),"",PMT(Assumptions!$B$5/12,36,-$E15,$E15*Assumptions!$B$6))</f>
        <v>49082.6563701942</v>
      </c>
      <c r="H15" s="42" t="n">
        <f aca="false">IF(ISBLANK(Cars!$E$14),"",(IF($B15="ICE",Assumptions!$B$22/$F15*Assumptions!$B$17+Assumptions!$B$23/($F15*Assumptions!$B$25)*Assumptions!$B$17,Assumptions!$B$22*Assumptions!$B$27*($F15/100)*Assumptions!$B$18+Assumptions!$B$23*Assumptions!$B$27*($F15*Assumptions!$B$26/100)*Assumptions!$B$19))*3)</f>
        <v>64584</v>
      </c>
      <c r="I15" s="42" t="n">
        <f aca="false">IF(ISBLANK(Cars!$E$14),"",(IF($B15="ICE",Assumptions!$B$30,Assumptions!$B$31)*3)+($E15*IF($B15="ICE",Assumptions!$B$32,Assumptions!$B$33)*(1-(1-Assumptions!$B$34)^3)/Assumptions!$B$34))</f>
        <v>174111.465</v>
      </c>
      <c r="J15" s="42" t="n">
        <f aca="false">IF(ISBLANK(Cars!$E$14),"",Assumptions!$B$12*(G15-Assumptions!$B$13)*36)</f>
        <v>495136.396350021</v>
      </c>
      <c r="K15" s="42" t="n">
        <f aca="false">IF(ISBLANK(Cars!$E$14),"",G15*36+$E15*Assumptions!$B$6+H15+I15)</f>
        <v>2169971.09432699</v>
      </c>
      <c r="L15" s="43" t="n">
        <f aca="false">IF(ISBLANK(Cars!$E$14),"",K15-J15)</f>
        <v>1674834.69797697</v>
      </c>
      <c r="M15" s="44" t="n">
        <f aca="false">IF(ISBLANK(Cars!$E$14),"",L15/(Assumptions!$B$24*IF($B15="EV",Assumptions!$B$27,1)*3))</f>
        <v>46.5231860549158</v>
      </c>
      <c r="N15" s="42" t="n">
        <f aca="false">IF(ISBLANK(Cars!$E$14),"",PMT(Assumptions!$B$5/12,48,-$E15,$E15*Assumptions!$B$6))</f>
        <v>38872.8187916273</v>
      </c>
      <c r="O15" s="42" t="n">
        <f aca="false">IF(ISBLANK(Cars!$E$14),"",(IF($B15="ICE",Assumptions!$B$22/$F15*Assumptions!$B$17+Assumptions!$B$23/($F15*Assumptions!$B$25)*Assumptions!$B$17,Assumptions!$B$22*Assumptions!$B$27*($F15/100)*Assumptions!$B$18+Assumptions!$B$23*Assumptions!$B$27*($F15*Assumptions!$B$26/100)*Assumptions!$B$19))*4)</f>
        <v>86112</v>
      </c>
      <c r="P15" s="42" t="n">
        <f aca="false">IF(ISBLANK(Cars!$E$14),"",(IF($B15="ICE",Assumptions!$B$30,Assumptions!$B$31)*4)+($E15*IF($B15="ICE",Assumptions!$B$32,Assumptions!$B$33)*(1-(1-Assumptions!$B$34)^4)/Assumptions!$B$34))</f>
        <v>216953.74525</v>
      </c>
      <c r="Q15" s="42" t="n">
        <f aca="false">IF(ISBLANK(Cars!$E$14),"",Assumptions!$B$12*(N15-Assumptions!$B$13)*48)</f>
        <v>507279.334223411</v>
      </c>
      <c r="R15" s="42" t="n">
        <f aca="false">IF(ISBLANK(Cars!$E$14),"",N15*48+$E15*Assumptions!$B$6+O15+P15)</f>
        <v>2333261.04724811</v>
      </c>
      <c r="S15" s="43" t="n">
        <f aca="false">IF(ISBLANK(Cars!$E$14),"",R15-Q15)</f>
        <v>1825981.7130247</v>
      </c>
      <c r="T15" s="44" t="n">
        <f aca="false">IF(ISBLANK(Cars!$E$14),"",S15/(Assumptions!$B$24*IF($B15="EV",Assumptions!$B$27,1)*4))</f>
        <v>38.0412856880146</v>
      </c>
      <c r="U15" s="42" t="n">
        <f aca="false">IF(ISBLANK(Cars!$E$14),"",PMT(Assumptions!$B$5/12,60,-$E15,$E15*Assumptions!$B$6))</f>
        <v>32787.1716812191</v>
      </c>
      <c r="V15" s="42" t="n">
        <f aca="false">IF(ISBLANK(Cars!$E$14),"",(IF($B15="ICE",Assumptions!$B$22/$F15*Assumptions!$B$17+Assumptions!$B$23/($F15*Assumptions!$B$25)*Assumptions!$B$17,Assumptions!$B$22*Assumptions!$B$27*($F15/100)*Assumptions!$B$18+Assumptions!$B$23*Assumptions!$B$27*($F15*Assumptions!$B$26/100)*Assumptions!$B$19))*5)</f>
        <v>107640</v>
      </c>
      <c r="W15" s="42" t="n">
        <f aca="false">IF(ISBLANK(Cars!$E$14),"",(IF($B15="ICE",Assumptions!$B$30,Assumptions!$B$31)*5)+($E15*IF($B15="ICE",Assumptions!$B$32,Assumptions!$B$33)*(1-(1-Assumptions!$B$34)^5)/Assumptions!$B$34))</f>
        <v>254044.6834625</v>
      </c>
      <c r="X15" s="42" t="n">
        <f aca="false">IF(ISBLANK(Cars!$E$14),"",Assumptions!$B$12*(U15-Assumptions!$B$13)*60)</f>
        <v>520175.853872421</v>
      </c>
      <c r="Y15" s="42" t="n">
        <f aca="false">IF(ISBLANK(Cars!$E$14),"",U15*60+$E15*Assumptions!$B$6+V15+W15)</f>
        <v>2493214.98433564</v>
      </c>
      <c r="Z15" s="43" t="n">
        <f aca="false">IF(ISBLANK(Cars!$E$14),"",Y15-X15)</f>
        <v>1973039.13046322</v>
      </c>
      <c r="AA15" s="44" t="n">
        <f aca="false">IF(ISBLANK(Cars!$E$14),"",Z15/(Assumptions!$B$24*IF($B15="EV",Assumptions!$B$27,1)*5))</f>
        <v>32.8839855077204</v>
      </c>
      <c r="AB15" s="45" t="n">
        <f aca="false">IF(ISBLANK(Cars!$E$14),"",RANK(L15,$L$6:$L$31,1))</f>
        <v>1</v>
      </c>
      <c r="AC15" s="45" t="n">
        <f aca="false">IF(ISBLANK(Cars!$E$14),"",RANK(S15,$S$6:$S$31,1))</f>
        <v>1</v>
      </c>
      <c r="AD15" s="45" t="n">
        <f aca="false">IF(ISBLANK(Cars!$E$14),"",RANK(Z15,$Z$6:$Z$31,1))</f>
        <v>1</v>
      </c>
    </row>
    <row r="16" customFormat="false" ht="15" hidden="false" customHeight="false" outlineLevel="0" collapsed="false">
      <c r="A16" s="20" t="n">
        <v>11</v>
      </c>
      <c r="B16" s="37" t="str">
        <f aca="false">Cars!B15</f>
        <v>EV</v>
      </c>
      <c r="C16" s="38" t="str">
        <f aca="false">Cars!C15</f>
        <v>Tata Sierra EV</v>
      </c>
      <c r="D16" s="39" t="str">
        <f aca="false">Cars!D15</f>
        <v>Adventure, 63kWh (360° cam trim)</v>
      </c>
      <c r="E16" s="40" t="n">
        <f aca="false">Cars!E15</f>
        <v>2214000</v>
      </c>
      <c r="F16" s="41" t="n">
        <f aca="false">Cars!F15</f>
        <v>15.4</v>
      </c>
      <c r="G16" s="42" t="n">
        <f aca="false">IF(ISBLANK(Cars!$E$15),"",PMT(Assumptions!$B$5/12,36,-$E16,$E16*Assumptions!$B$6))</f>
        <v>66140.5972024406</v>
      </c>
      <c r="H16" s="42" t="n">
        <f aca="false">IF(ISBLANK(Cars!$E$15),"",(IF($B16="ICE",Assumptions!$B$22/$F16*Assumptions!$B$17+Assumptions!$B$23/($F16*Assumptions!$B$25)*Assumptions!$B$17,Assumptions!$B$22*Assumptions!$B$27*($F16/100)*Assumptions!$B$18+Assumptions!$B$23*Assumptions!$B$27*($F16*Assumptions!$B$26/100)*Assumptions!$B$19))*3)</f>
        <v>72072</v>
      </c>
      <c r="I16" s="42" t="n">
        <f aca="false">IF(ISBLANK(Cars!$E$15),"",(IF($B16="ICE",Assumptions!$B$30,Assumptions!$B$31)*3)+($E16*IF($B16="ICE",Assumptions!$B$32,Assumptions!$B$33)*(1-(1-Assumptions!$B$34)^3)/Assumptions!$B$34))</f>
        <v>229929.57</v>
      </c>
      <c r="J16" s="42" t="n">
        <f aca="false">IF(ISBLANK(Cars!$E$15),"",Assumptions!$B$12*(G16-Assumptions!$B$13)*36)</f>
        <v>686731.187777813</v>
      </c>
      <c r="K16" s="42" t="n">
        <f aca="false">IF(ISBLANK(Cars!$E$15),"",G16*36+$E16*Assumptions!$B$6+H16+I16)</f>
        <v>2904463.06928786</v>
      </c>
      <c r="L16" s="43" t="n">
        <f aca="false">IF(ISBLANK(Cars!$E$15),"",K16-J16)</f>
        <v>2217731.88151005</v>
      </c>
      <c r="M16" s="44" t="n">
        <f aca="false">IF(ISBLANK(Cars!$E$15),"",L16/(Assumptions!$B$24*IF($B16="EV",Assumptions!$B$27,1)*3))</f>
        <v>61.6036633752791</v>
      </c>
      <c r="N16" s="42" t="n">
        <f aca="false">IF(ISBLANK(Cars!$E$15),"",PMT(Assumptions!$B$5/12,48,-$E16,$E16*Assumptions!$B$6))</f>
        <v>52382.4837520773</v>
      </c>
      <c r="O16" s="42" t="n">
        <f aca="false">IF(ISBLANK(Cars!$E$15),"",(IF($B16="ICE",Assumptions!$B$22/$F16*Assumptions!$B$17+Assumptions!$B$23/($F16*Assumptions!$B$25)*Assumptions!$B$17,Assumptions!$B$22*Assumptions!$B$27*($F16/100)*Assumptions!$B$18+Assumptions!$B$23*Assumptions!$B$27*($F16*Assumptions!$B$26/100)*Assumptions!$B$19))*4)</f>
        <v>96096</v>
      </c>
      <c r="P16" s="42" t="n">
        <f aca="false">IF(ISBLANK(Cars!$E$15),"",(IF($B16="ICE",Assumptions!$B$30,Assumptions!$B$31)*4)+($E16*IF($B16="ICE",Assumptions!$B$32,Assumptions!$B$33)*(1-(1-Assumptions!$B$34)^4)/Assumptions!$B$34))</f>
        <v>286097.1345</v>
      </c>
      <c r="Q16" s="42" t="n">
        <f aca="false">IF(ISBLANK(Cars!$E$15),"",Assumptions!$B$12*(N16-Assumptions!$B$13)*48)</f>
        <v>709600.076671109</v>
      </c>
      <c r="R16" s="42" t="n">
        <f aca="false">IF(ISBLANK(Cars!$E$15),"",N16*48+$E16*Assumptions!$B$6+O16+P16)</f>
        <v>3117952.35459971</v>
      </c>
      <c r="S16" s="43" t="n">
        <f aca="false">IF(ISBLANK(Cars!$E$15),"",R16-Q16)</f>
        <v>2408352.2779286</v>
      </c>
      <c r="T16" s="44" t="n">
        <f aca="false">IF(ISBLANK(Cars!$E$15),"",S16/(Assumptions!$B$24*IF($B16="EV",Assumptions!$B$27,1)*4))</f>
        <v>50.1740057901792</v>
      </c>
      <c r="U16" s="42" t="n">
        <f aca="false">IF(ISBLANK(Cars!$E$15),"",PMT(Assumptions!$B$5/12,60,-$E16,$E16*Assumptions!$B$6))</f>
        <v>44181.8612916732</v>
      </c>
      <c r="V16" s="42" t="n">
        <f aca="false">IF(ISBLANK(Cars!$E$15),"",(IF($B16="ICE",Assumptions!$B$22/$F16*Assumptions!$B$17+Assumptions!$B$23/($F16*Assumptions!$B$25)*Assumptions!$B$17,Assumptions!$B$22*Assumptions!$B$27*($F16/100)*Assumptions!$B$18+Assumptions!$B$23*Assumptions!$B$27*($F16*Assumptions!$B$26/100)*Assumptions!$B$19))*5)</f>
        <v>120120</v>
      </c>
      <c r="W16" s="42" t="n">
        <f aca="false">IF(ISBLANK(Cars!$E$15),"",(IF($B16="ICE",Assumptions!$B$30,Assumptions!$B$31)*5)+($E16*IF($B16="ICE",Assumptions!$B$32,Assumptions!$B$33)*(1-(1-Assumptions!$B$34)^5)/Assumptions!$B$34))</f>
        <v>334514.564325</v>
      </c>
      <c r="X16" s="42" t="n">
        <f aca="false">IF(ISBLANK(Cars!$E$15),"",Assumptions!$B$12*(U16-Assumptions!$B$13)*60)</f>
        <v>733484.443380122</v>
      </c>
      <c r="Y16" s="42" t="n">
        <f aca="false">IF(ISBLANK(Cars!$E$15),"",U16*60+$E16*Assumptions!$B$6+V16+W16)</f>
        <v>3326946.24182539</v>
      </c>
      <c r="Z16" s="43" t="n">
        <f aca="false">IF(ISBLANK(Cars!$E$15),"",Y16-X16)</f>
        <v>2593461.79844527</v>
      </c>
      <c r="AA16" s="44" t="n">
        <f aca="false">IF(ISBLANK(Cars!$E$15),"",Z16/(Assumptions!$B$24*IF($B16="EV",Assumptions!$B$27,1)*5))</f>
        <v>43.2243633074212</v>
      </c>
      <c r="AB16" s="45" t="n">
        <f aca="false">IF(ISBLANK(Cars!$E$15),"",RANK(L16,$L$6:$L$31,1))</f>
        <v>11</v>
      </c>
      <c r="AC16" s="45" t="n">
        <f aca="false">IF(ISBLANK(Cars!$E$15),"",RANK(S16,$S$6:$S$31,1))</f>
        <v>11</v>
      </c>
      <c r="AD16" s="45" t="n">
        <f aca="false">IF(ISBLANK(Cars!$E$15),"",RANK(Z16,$Z$6:$Z$31,1))</f>
        <v>8</v>
      </c>
    </row>
    <row r="17" customFormat="false" ht="22.35" hidden="false" customHeight="false" outlineLevel="0" collapsed="false">
      <c r="A17" s="20" t="n">
        <v>12</v>
      </c>
      <c r="B17" s="37" t="str">
        <f aca="false">Cars!B16</f>
        <v>EV</v>
      </c>
      <c r="C17" s="38" t="str">
        <f aca="false">Cars!C16</f>
        <v>Tata Nexon EV</v>
      </c>
      <c r="D17" s="39" t="str">
        <f aca="false">Cars!D16</f>
        <v>Empowered+ A, 45kWh LR (360° cam) — ADDED</v>
      </c>
      <c r="E17" s="40" t="n">
        <f aca="false">Cars!E16</f>
        <v>1946000</v>
      </c>
      <c r="F17" s="41" t="n">
        <f aca="false">Cars!F16</f>
        <v>14.1</v>
      </c>
      <c r="G17" s="42" t="n">
        <f aca="false">IF(ISBLANK(Cars!$E$16),"",PMT(Assumptions!$B$5/12,36,-$E17,$E17*Assumptions!$B$6))</f>
        <v>58134.4183179536</v>
      </c>
      <c r="H17" s="42" t="n">
        <f aca="false">IF(ISBLANK(Cars!$E$16),"",(IF($B17="ICE",Assumptions!$B$22/$F17*Assumptions!$B$17+Assumptions!$B$23/($F17*Assumptions!$B$25)*Assumptions!$B$17,Assumptions!$B$22*Assumptions!$B$27*($F17/100)*Assumptions!$B$18+Assumptions!$B$23*Assumptions!$B$27*($F17*Assumptions!$B$26/100)*Assumptions!$B$19))*3)</f>
        <v>65988</v>
      </c>
      <c r="I17" s="42" t="n">
        <f aca="false">IF(ISBLANK(Cars!$E$16),"",(IF($B17="ICE",Assumptions!$B$30,Assumptions!$B$31)*3)+($E17*IF($B17="ICE",Assumptions!$B$32,Assumptions!$B$33)*(1-(1-Assumptions!$B$34)^3)/Assumptions!$B$34))</f>
        <v>203731.23</v>
      </c>
      <c r="J17" s="42" t="n">
        <f aca="false">IF(ISBLANK(Cars!$E$16),"",Assumptions!$B$12*(G17-Assumptions!$B$13)*36)</f>
        <v>596805.786547255</v>
      </c>
      <c r="K17" s="42" t="n">
        <f aca="false">IF(ISBLANK(Cars!$E$16),"",G17*36+$E17*Assumptions!$B$6+H17+I17)</f>
        <v>2557158.28944633</v>
      </c>
      <c r="L17" s="43" t="n">
        <f aca="false">IF(ISBLANK(Cars!$E$16),"",K17-J17)</f>
        <v>1960352.50289908</v>
      </c>
      <c r="M17" s="44" t="n">
        <f aca="false">IF(ISBLANK(Cars!$E$16),"",L17/(Assumptions!$B$24*IF($B17="EV",Assumptions!$B$27,1)*3))</f>
        <v>54.454236191641</v>
      </c>
      <c r="N17" s="42" t="n">
        <f aca="false">IF(ISBLANK(Cars!$E$16),"",PMT(Assumptions!$B$5/12,48,-$E17,$E17*Assumptions!$B$6))</f>
        <v>46041.6952942829</v>
      </c>
      <c r="O17" s="42" t="n">
        <f aca="false">IF(ISBLANK(Cars!$E$16),"",(IF($B17="ICE",Assumptions!$B$22/$F17*Assumptions!$B$17+Assumptions!$B$23/($F17*Assumptions!$B$25)*Assumptions!$B$17,Assumptions!$B$22*Assumptions!$B$27*($F17/100)*Assumptions!$B$18+Assumptions!$B$23*Assumptions!$B$27*($F17*Assumptions!$B$26/100)*Assumptions!$B$19))*4)</f>
        <v>87984</v>
      </c>
      <c r="P17" s="42" t="n">
        <f aca="false">IF(ISBLANK(Cars!$E$16),"",(IF($B17="ICE",Assumptions!$B$30,Assumptions!$B$31)*4)+($E17*IF($B17="ICE",Assumptions!$B$32,Assumptions!$B$33)*(1-(1-Assumptions!$B$34)^4)/Assumptions!$B$34))</f>
        <v>253644.5455</v>
      </c>
      <c r="Q17" s="42" t="n">
        <f aca="false">IF(ISBLANK(Cars!$E$16),"",Assumptions!$B$12*(N17-Assumptions!$B$13)*48)</f>
        <v>614640.428727181</v>
      </c>
      <c r="R17" s="42" t="n">
        <f aca="false">IF(ISBLANK(Cars!$E$16),"",N17*48+$E17*Assumptions!$B$6+O17+P17)</f>
        <v>2746229.91962558</v>
      </c>
      <c r="S17" s="43" t="n">
        <f aca="false">IF(ISBLANK(Cars!$E$16),"",R17-Q17)</f>
        <v>2131589.4908984</v>
      </c>
      <c r="T17" s="44" t="n">
        <f aca="false">IF(ISBLANK(Cars!$E$16),"",S17/(Assumptions!$B$24*IF($B17="EV",Assumptions!$B$27,1)*4))</f>
        <v>44.4081143937166</v>
      </c>
      <c r="U17" s="42" t="n">
        <f aca="false">IF(ISBLANK(Cars!$E$16),"",PMT(Assumptions!$B$5/12,60,-$E17,$E17*Assumptions!$B$6))</f>
        <v>38833.7407739819</v>
      </c>
      <c r="V17" s="42" t="n">
        <f aca="false">IF(ISBLANK(Cars!$E$16),"",(IF($B17="ICE",Assumptions!$B$22/$F17*Assumptions!$B$17+Assumptions!$B$23/($F17*Assumptions!$B$25)*Assumptions!$B$17,Assumptions!$B$22*Assumptions!$B$27*($F17/100)*Assumptions!$B$18+Assumptions!$B$23*Assumptions!$B$27*($F17*Assumptions!$B$26/100)*Assumptions!$B$19))*5)</f>
        <v>109980</v>
      </c>
      <c r="W17" s="42" t="n">
        <f aca="false">IF(ISBLANK(Cars!$E$16),"",(IF($B17="ICE",Assumptions!$B$30,Assumptions!$B$31)*5)+($E17*IF($B17="ICE",Assumptions!$B$32,Assumptions!$B$33)*(1-(1-Assumptions!$B$34)^5)/Assumptions!$B$34))</f>
        <v>296745.863675</v>
      </c>
      <c r="X17" s="42" t="n">
        <f aca="false">IF(ISBLANK(Cars!$E$16),"",Assumptions!$B$12*(U17-Assumptions!$B$13)*60)</f>
        <v>633367.627288942</v>
      </c>
      <c r="Y17" s="42" t="n">
        <f aca="false">IF(ISBLANK(Cars!$E$16),"",U17*60+$E17*Assumptions!$B$6+V17+W17)</f>
        <v>2931350.31011392</v>
      </c>
      <c r="Z17" s="43" t="n">
        <f aca="false">IF(ISBLANK(Cars!$E$16),"",Y17-X17)</f>
        <v>2297982.68282497</v>
      </c>
      <c r="AA17" s="44" t="n">
        <f aca="false">IF(ISBLANK(Cars!$E$16),"",Z17/(Assumptions!$B$24*IF($B17="EV",Assumptions!$B$27,1)*5))</f>
        <v>38.2997113804162</v>
      </c>
      <c r="AB17" s="45" t="n">
        <f aca="false">IF(ISBLANK(Cars!$E$16),"",RANK(L17,$L$6:$L$31,1))</f>
        <v>4</v>
      </c>
      <c r="AC17" s="45" t="n">
        <f aca="false">IF(ISBLANK(Cars!$E$16),"",RANK(S17,$S$6:$S$31,1))</f>
        <v>4</v>
      </c>
      <c r="AD17" s="45" t="n">
        <f aca="false">IF(ISBLANK(Cars!$E$16),"",RANK(Z17,$Z$6:$Z$31,1))</f>
        <v>5</v>
      </c>
    </row>
    <row r="18" customFormat="false" ht="22.35" hidden="false" customHeight="false" outlineLevel="0" collapsed="false">
      <c r="A18" s="20" t="n">
        <v>13</v>
      </c>
      <c r="B18" s="37" t="str">
        <f aca="false">Cars!B17</f>
        <v>EV</v>
      </c>
      <c r="C18" s="38" t="str">
        <f aca="false">Cars!C17</f>
        <v>Maruti e Vitara</v>
      </c>
      <c r="D18" s="39" t="str">
        <f aca="false">Cars!D17</f>
        <v>Alpha, 61kWh (360° cam, ADAS) — ADDED</v>
      </c>
      <c r="E18" s="40" t="n">
        <f aca="false">Cars!E17</f>
        <v>2137000</v>
      </c>
      <c r="F18" s="41" t="n">
        <f aca="false">Cars!F17</f>
        <v>15.3</v>
      </c>
      <c r="G18" s="42" t="n">
        <f aca="false">IF(ISBLANK(Cars!$E$17),"",PMT(Assumptions!$B$5/12,36,-$E18,$E18*Assumptions!$B$6))</f>
        <v>63840.314463241</v>
      </c>
      <c r="H18" s="42" t="n">
        <f aca="false">IF(ISBLANK(Cars!$E$17),"",(IF($B18="ICE",Assumptions!$B$22/$F18*Assumptions!$B$17+Assumptions!$B$23/($F18*Assumptions!$B$25)*Assumptions!$B$17,Assumptions!$B$22*Assumptions!$B$27*($F18/100)*Assumptions!$B$18+Assumptions!$B$23*Assumptions!$B$27*($F18*Assumptions!$B$26/100)*Assumptions!$B$19))*3)</f>
        <v>71604</v>
      </c>
      <c r="I18" s="42" t="n">
        <f aca="false">IF(ISBLANK(Cars!$E$17),"",(IF($B18="ICE",Assumptions!$B$30,Assumptions!$B$31)*3)+($E18*IF($B18="ICE",Assumptions!$B$32,Assumptions!$B$33)*(1-(1-Assumptions!$B$34)^3)/Assumptions!$B$34))</f>
        <v>222402.435</v>
      </c>
      <c r="J18" s="42" t="n">
        <f aca="false">IF(ISBLANK(Cars!$E$17),"",Assumptions!$B$12*(G18-Assumptions!$B$13)*36)</f>
        <v>660894.412051123</v>
      </c>
      <c r="K18" s="42" t="n">
        <f aca="false">IF(ISBLANK(Cars!$E$17),"",G18*36+$E18*Assumptions!$B$6+H18+I18)</f>
        <v>2805957.75567668</v>
      </c>
      <c r="L18" s="43" t="n">
        <f aca="false">IF(ISBLANK(Cars!$E$17),"",K18-J18)</f>
        <v>2145063.34362555</v>
      </c>
      <c r="M18" s="44" t="n">
        <f aca="false">IF(ISBLANK(Cars!$E$17),"",L18/(Assumptions!$B$24*IF($B18="EV",Assumptions!$B$27,1)*3))</f>
        <v>59.5850928784876</v>
      </c>
      <c r="N18" s="42" t="n">
        <f aca="false">IF(ISBLANK(Cars!$E$17),"",PMT(Assumptions!$B$5/12,48,-$E18,$E18*Assumptions!$B$6))</f>
        <v>50560.6900533826</v>
      </c>
      <c r="O18" s="42" t="n">
        <f aca="false">IF(ISBLANK(Cars!$E$17),"",(IF($B18="ICE",Assumptions!$B$22/$F18*Assumptions!$B$17+Assumptions!$B$23/($F18*Assumptions!$B$25)*Assumptions!$B$17,Assumptions!$B$22*Assumptions!$B$27*($F18/100)*Assumptions!$B$18+Assumptions!$B$23*Assumptions!$B$27*($F18*Assumptions!$B$26/100)*Assumptions!$B$19))*4)</f>
        <v>95472</v>
      </c>
      <c r="P18" s="42" t="n">
        <f aca="false">IF(ISBLANK(Cars!$E$17),"",(IF($B18="ICE",Assumptions!$B$30,Assumptions!$B$31)*4)+($E18*IF($B18="ICE",Assumptions!$B$32,Assumptions!$B$33)*(1-(1-Assumptions!$B$34)^4)/Assumptions!$B$34))</f>
        <v>276773.06975</v>
      </c>
      <c r="Q18" s="42" t="n">
        <f aca="false">IF(ISBLANK(Cars!$E$17),"",Assumptions!$B$12*(N18-Assumptions!$B$13)*48)</f>
        <v>682316.894239458</v>
      </c>
      <c r="R18" s="42" t="n">
        <f aca="false">IF(ISBLANK(Cars!$E$17),"",N18*48+$E18*Assumptions!$B$6+O18+P18)</f>
        <v>3012858.19231237</v>
      </c>
      <c r="S18" s="43" t="n">
        <f aca="false">IF(ISBLANK(Cars!$E$17),"",R18-Q18)</f>
        <v>2330541.29807291</v>
      </c>
      <c r="T18" s="44" t="n">
        <f aca="false">IF(ISBLANK(Cars!$E$17),"",S18/(Assumptions!$B$24*IF($B18="EV",Assumptions!$B$27,1)*4))</f>
        <v>48.5529437098522</v>
      </c>
      <c r="U18" s="42" t="n">
        <f aca="false">IF(ISBLANK(Cars!$E$17),"",PMT(Assumptions!$B$5/12,60,-$E18,$E18*Assumptions!$B$6))</f>
        <v>42645.2744265156</v>
      </c>
      <c r="V18" s="42" t="n">
        <f aca="false">IF(ISBLANK(Cars!$E$17),"",(IF($B18="ICE",Assumptions!$B$22/$F18*Assumptions!$B$17+Assumptions!$B$23/($F18*Assumptions!$B$25)*Assumptions!$B$17,Assumptions!$B$22*Assumptions!$B$27*($F18/100)*Assumptions!$B$18+Assumptions!$B$23*Assumptions!$B$27*($F18*Assumptions!$B$26/100)*Assumptions!$B$19))*5)</f>
        <v>119340</v>
      </c>
      <c r="W18" s="42" t="n">
        <f aca="false">IF(ISBLANK(Cars!$E$17),"",(IF($B18="ICE",Assumptions!$B$30,Assumptions!$B$31)*5)+($E18*IF($B18="ICE",Assumptions!$B$32,Assumptions!$B$33)*(1-(1-Assumptions!$B$34)^5)/Assumptions!$B$34))</f>
        <v>323663.1092875</v>
      </c>
      <c r="X18" s="42" t="n">
        <f aca="false">IF(ISBLANK(Cars!$E$17),"",Assumptions!$B$12*(U18-Assumptions!$B$13)*60)</f>
        <v>704719.537264372</v>
      </c>
      <c r="Y18" s="42" t="n">
        <f aca="false">IF(ISBLANK(Cars!$E$17),"",U18*60+$E18*Assumptions!$B$6+V18+W18)</f>
        <v>3215419.57487844</v>
      </c>
      <c r="Z18" s="43" t="n">
        <f aca="false">IF(ISBLANK(Cars!$E$17),"",Y18-X18)</f>
        <v>2510700.03761406</v>
      </c>
      <c r="AA18" s="44" t="n">
        <f aca="false">IF(ISBLANK(Cars!$E$17),"",Z18/(Assumptions!$B$24*IF($B18="EV",Assumptions!$B$27,1)*5))</f>
        <v>41.8450006269011</v>
      </c>
      <c r="AB18" s="45" t="n">
        <f aca="false">IF(ISBLANK(Cars!$E$17),"",RANK(L18,$L$6:$L$31,1))</f>
        <v>10</v>
      </c>
      <c r="AC18" s="45" t="n">
        <f aca="false">IF(ISBLANK(Cars!$E$17),"",RANK(S18,$S$6:$S$31,1))</f>
        <v>7</v>
      </c>
      <c r="AD18" s="45" t="n">
        <f aca="false">IF(ISBLANK(Cars!$E$17),"",RANK(Z18,$Z$6:$Z$31,1))</f>
        <v>7</v>
      </c>
    </row>
    <row r="19" customFormat="false" ht="22.35" hidden="false" customHeight="false" outlineLevel="0" collapsed="false">
      <c r="A19" s="20" t="n">
        <v>14</v>
      </c>
      <c r="B19" s="37" t="str">
        <f aca="false">Cars!B18</f>
        <v>EV</v>
      </c>
      <c r="C19" s="38" t="str">
        <f aca="false">Cars!C18</f>
        <v>Kia Syros EV</v>
      </c>
      <c r="D19" s="39" t="str">
        <f aca="false">Cars!D18</f>
        <v>HTX+ ER, 51.4kWh (360° cam) — ADDED</v>
      </c>
      <c r="E19" s="40" t="n">
        <f aca="false">Cars!E18</f>
        <v>1950000</v>
      </c>
      <c r="F19" s="41" t="n">
        <f aca="false">Cars!F18</f>
        <v>13.5</v>
      </c>
      <c r="G19" s="42" t="n">
        <f aca="false">IF(ISBLANK(Cars!$E$18),"",PMT(Assumptions!$B$5/12,36,-$E19,$E19*Assumptions!$B$6))</f>
        <v>58253.9135251848</v>
      </c>
      <c r="H19" s="42" t="n">
        <f aca="false">IF(ISBLANK(Cars!$E$18),"",(IF($B19="ICE",Assumptions!$B$22/$F19*Assumptions!$B$17+Assumptions!$B$23/($F19*Assumptions!$B$25)*Assumptions!$B$17,Assumptions!$B$22*Assumptions!$B$27*($F19/100)*Assumptions!$B$18+Assumptions!$B$23*Assumptions!$B$27*($F19*Assumptions!$B$26/100)*Assumptions!$B$19))*3)</f>
        <v>63180</v>
      </c>
      <c r="I19" s="42" t="n">
        <f aca="false">IF(ISBLANK(Cars!$E$18),"",(IF($B19="ICE",Assumptions!$B$30,Assumptions!$B$31)*3)+($E19*IF($B19="ICE",Assumptions!$B$32,Assumptions!$B$33)*(1-(1-Assumptions!$B$34)^3)/Assumptions!$B$34))</f>
        <v>204122.25</v>
      </c>
      <c r="J19" s="42" t="n">
        <f aca="false">IF(ISBLANK(Cars!$E$18),"",Assumptions!$B$12*(G19-Assumptions!$B$13)*36)</f>
        <v>598147.956714876</v>
      </c>
      <c r="K19" s="42" t="n">
        <f aca="false">IF(ISBLANK(Cars!$E$18),"",G19*36+$E19*Assumptions!$B$6+H19+I19)</f>
        <v>2559443.13690665</v>
      </c>
      <c r="L19" s="43" t="n">
        <f aca="false">IF(ISBLANK(Cars!$E$18),"",K19-J19)</f>
        <v>1961295.18019178</v>
      </c>
      <c r="M19" s="44" t="n">
        <f aca="false">IF(ISBLANK(Cars!$E$18),"",L19/(Assumptions!$B$24*IF($B19="EV",Assumptions!$B$27,1)*3))</f>
        <v>54.4804216719938</v>
      </c>
      <c r="N19" s="42" t="n">
        <f aca="false">IF(ISBLANK(Cars!$E$18),"",PMT(Assumptions!$B$5/12,48,-$E19,$E19*Assumptions!$B$6))</f>
        <v>46136.3339279813</v>
      </c>
      <c r="O19" s="42" t="n">
        <f aca="false">IF(ISBLANK(Cars!$E$18),"",(IF($B19="ICE",Assumptions!$B$22/$F19*Assumptions!$B$17+Assumptions!$B$23/($F19*Assumptions!$B$25)*Assumptions!$B$17,Assumptions!$B$22*Assumptions!$B$27*($F19/100)*Assumptions!$B$18+Assumptions!$B$23*Assumptions!$B$27*($F19*Assumptions!$B$26/100)*Assumptions!$B$19))*4)</f>
        <v>84240</v>
      </c>
      <c r="P19" s="42" t="n">
        <f aca="false">IF(ISBLANK(Cars!$E$18),"",(IF($B19="ICE",Assumptions!$B$30,Assumptions!$B$31)*4)+($E19*IF($B19="ICE",Assumptions!$B$32,Assumptions!$B$33)*(1-(1-Assumptions!$B$34)^4)/Assumptions!$B$34))</f>
        <v>254128.9125</v>
      </c>
      <c r="Q19" s="42" t="n">
        <f aca="false">IF(ISBLANK(Cars!$E$18),"",Assumptions!$B$12*(N19-Assumptions!$B$13)*48)</f>
        <v>616057.736905448</v>
      </c>
      <c r="R19" s="42" t="n">
        <f aca="false">IF(ISBLANK(Cars!$E$18),"",N19*48+$E19*Assumptions!$B$6+O19+P19)</f>
        <v>2747912.9410431</v>
      </c>
      <c r="S19" s="43" t="n">
        <f aca="false">IF(ISBLANK(Cars!$E$18),"",R19-Q19)</f>
        <v>2131855.20413766</v>
      </c>
      <c r="T19" s="44" t="n">
        <f aca="false">IF(ISBLANK(Cars!$E$18),"",S19/(Assumptions!$B$24*IF($B19="EV",Assumptions!$B$27,1)*4))</f>
        <v>44.4136500862011</v>
      </c>
      <c r="U19" s="42" t="n">
        <f aca="false">IF(ISBLANK(Cars!$E$18),"",PMT(Assumptions!$B$5/12,60,-$E19,$E19*Assumptions!$B$6))</f>
        <v>38913.5634682758</v>
      </c>
      <c r="V19" s="42" t="n">
        <f aca="false">IF(ISBLANK(Cars!$E$18),"",(IF($B19="ICE",Assumptions!$B$22/$F19*Assumptions!$B$17+Assumptions!$B$23/($F19*Assumptions!$B$25)*Assumptions!$B$17,Assumptions!$B$22*Assumptions!$B$27*($F19/100)*Assumptions!$B$18+Assumptions!$B$23*Assumptions!$B$27*($F19*Assumptions!$B$26/100)*Assumptions!$B$19))*5)</f>
        <v>105300</v>
      </c>
      <c r="W19" s="42" t="n">
        <f aca="false">IF(ISBLANK(Cars!$E$18),"",(IF($B19="ICE",Assumptions!$B$30,Assumptions!$B$31)*5)+($E19*IF($B19="ICE",Assumptions!$B$32,Assumptions!$B$33)*(1-(1-Assumptions!$B$34)^5)/Assumptions!$B$34))</f>
        <v>297309.575625</v>
      </c>
      <c r="X19" s="42" t="n">
        <f aca="false">IF(ISBLANK(Cars!$E$18),"",Assumptions!$B$12*(U19-Assumptions!$B$13)*60)</f>
        <v>634861.908126124</v>
      </c>
      <c r="Y19" s="42" t="n">
        <f aca="false">IF(ISBLANK(Cars!$E$18),"",U19*60+$E19*Assumptions!$B$6+V19+W19)</f>
        <v>2932423.38372155</v>
      </c>
      <c r="Z19" s="43" t="n">
        <f aca="false">IF(ISBLANK(Cars!$E$18),"",Y19-X19)</f>
        <v>2297561.47559543</v>
      </c>
      <c r="AA19" s="44" t="n">
        <f aca="false">IF(ISBLANK(Cars!$E$18),"",Z19/(Assumptions!$B$24*IF($B19="EV",Assumptions!$B$27,1)*5))</f>
        <v>38.2926912599238</v>
      </c>
      <c r="AB19" s="45" t="n">
        <f aca="false">IF(ISBLANK(Cars!$E$18),"",RANK(L19,$L$6:$L$31,1))</f>
        <v>5</v>
      </c>
      <c r="AC19" s="45" t="n">
        <f aca="false">IF(ISBLANK(Cars!$E$18),"",RANK(S19,$S$6:$S$31,1))</f>
        <v>5</v>
      </c>
      <c r="AD19" s="45" t="n">
        <f aca="false">IF(ISBLANK(Cars!$E$18),"",RANK(Z19,$Z$6:$Z$31,1))</f>
        <v>4</v>
      </c>
    </row>
    <row r="20" customFormat="false" ht="15" hidden="false" customHeight="false" outlineLevel="0" collapsed="false">
      <c r="A20" s="20" t="n">
        <v>15</v>
      </c>
      <c r="B20" s="37" t="n">
        <f aca="false">Cars!B19</f>
        <v>0</v>
      </c>
      <c r="C20" s="38" t="n">
        <f aca="false">Cars!C19</f>
        <v>0</v>
      </c>
      <c r="D20" s="39" t="n">
        <f aca="false">Cars!D19</f>
        <v>0</v>
      </c>
      <c r="E20" s="40" t="n">
        <f aca="false">Cars!E19</f>
        <v>0</v>
      </c>
      <c r="F20" s="41" t="n">
        <f aca="false">Cars!F19</f>
        <v>0</v>
      </c>
      <c r="G20" s="42" t="str">
        <f aca="false">IF(ISBLANK(Cars!$E$19),"",PMT(Assumptions!$B$5/12,36,-$E20,$E20*Assumptions!$B$6))</f>
        <v/>
      </c>
      <c r="H20" s="42" t="str">
        <f aca="false">IF(ISBLANK(Cars!$E$19),"",(IF($B20="ICE",Assumptions!$B$22/$F20*Assumptions!$B$17+Assumptions!$B$23/($F20*Assumptions!$B$25)*Assumptions!$B$17,Assumptions!$B$22*Assumptions!$B$27*($F20/100)*Assumptions!$B$18+Assumptions!$B$23*Assumptions!$B$27*($F20*Assumptions!$B$26/100)*Assumptions!$B$19))*3)</f>
        <v/>
      </c>
      <c r="I20" s="42" t="str">
        <f aca="false">IF(ISBLANK(Cars!$E$19),"",(IF($B20="ICE",Assumptions!$B$30,Assumptions!$B$31)*3)+($E20*IF($B20="ICE",Assumptions!$B$32,Assumptions!$B$33)*(1-(1-Assumptions!$B$34)^3)/Assumptions!$B$34))</f>
        <v/>
      </c>
      <c r="J20" s="42" t="str">
        <f aca="false">IF(ISBLANK(Cars!$E$19),"",Assumptions!$B$12*(G20-Assumptions!$B$13)*36)</f>
        <v/>
      </c>
      <c r="K20" s="42" t="str">
        <f aca="false">IF(ISBLANK(Cars!$E$19),"",G20*36+$E20*Assumptions!$B$6+H20+I20)</f>
        <v/>
      </c>
      <c r="L20" s="43" t="str">
        <f aca="false">IF(ISBLANK(Cars!$E$19),"",K20-J20)</f>
        <v/>
      </c>
      <c r="M20" s="44" t="str">
        <f aca="false">IF(ISBLANK(Cars!$E$19),"",L20/(Assumptions!$B$24*IF($B20="EV",Assumptions!$B$27,1)*3))</f>
        <v/>
      </c>
      <c r="N20" s="42" t="str">
        <f aca="false">IF(ISBLANK(Cars!$E$19),"",PMT(Assumptions!$B$5/12,48,-$E20,$E20*Assumptions!$B$6))</f>
        <v/>
      </c>
      <c r="O20" s="42" t="str">
        <f aca="false">IF(ISBLANK(Cars!$E$19),"",(IF($B20="ICE",Assumptions!$B$22/$F20*Assumptions!$B$17+Assumptions!$B$23/($F20*Assumptions!$B$25)*Assumptions!$B$17,Assumptions!$B$22*Assumptions!$B$27*($F20/100)*Assumptions!$B$18+Assumptions!$B$23*Assumptions!$B$27*($F20*Assumptions!$B$26/100)*Assumptions!$B$19))*4)</f>
        <v/>
      </c>
      <c r="P20" s="42" t="str">
        <f aca="false">IF(ISBLANK(Cars!$E$19),"",(IF($B20="ICE",Assumptions!$B$30,Assumptions!$B$31)*4)+($E20*IF($B20="ICE",Assumptions!$B$32,Assumptions!$B$33)*(1-(1-Assumptions!$B$34)^4)/Assumptions!$B$34))</f>
        <v/>
      </c>
      <c r="Q20" s="42" t="str">
        <f aca="false">IF(ISBLANK(Cars!$E$19),"",Assumptions!$B$12*(N20-Assumptions!$B$13)*48)</f>
        <v/>
      </c>
      <c r="R20" s="42" t="str">
        <f aca="false">IF(ISBLANK(Cars!$E$19),"",N20*48+$E20*Assumptions!$B$6+O20+P20)</f>
        <v/>
      </c>
      <c r="S20" s="43" t="str">
        <f aca="false">IF(ISBLANK(Cars!$E$19),"",R20-Q20)</f>
        <v/>
      </c>
      <c r="T20" s="44" t="str">
        <f aca="false">IF(ISBLANK(Cars!$E$19),"",S20/(Assumptions!$B$24*IF($B20="EV",Assumptions!$B$27,1)*4))</f>
        <v/>
      </c>
      <c r="U20" s="42" t="str">
        <f aca="false">IF(ISBLANK(Cars!$E$19),"",PMT(Assumptions!$B$5/12,60,-$E20,$E20*Assumptions!$B$6))</f>
        <v/>
      </c>
      <c r="V20" s="42" t="str">
        <f aca="false">IF(ISBLANK(Cars!$E$19),"",(IF($B20="ICE",Assumptions!$B$22/$F20*Assumptions!$B$17+Assumptions!$B$23/($F20*Assumptions!$B$25)*Assumptions!$B$17,Assumptions!$B$22*Assumptions!$B$27*($F20/100)*Assumptions!$B$18+Assumptions!$B$23*Assumptions!$B$27*($F20*Assumptions!$B$26/100)*Assumptions!$B$19))*5)</f>
        <v/>
      </c>
      <c r="W20" s="42" t="str">
        <f aca="false">IF(ISBLANK(Cars!$E$19),"",(IF($B20="ICE",Assumptions!$B$30,Assumptions!$B$31)*5)+($E20*IF($B20="ICE",Assumptions!$B$32,Assumptions!$B$33)*(1-(1-Assumptions!$B$34)^5)/Assumptions!$B$34))</f>
        <v/>
      </c>
      <c r="X20" s="42" t="str">
        <f aca="false">IF(ISBLANK(Cars!$E$19),"",Assumptions!$B$12*(U20-Assumptions!$B$13)*60)</f>
        <v/>
      </c>
      <c r="Y20" s="42" t="str">
        <f aca="false">IF(ISBLANK(Cars!$E$19),"",U20*60+$E20*Assumptions!$B$6+V20+W20)</f>
        <v/>
      </c>
      <c r="Z20" s="43" t="str">
        <f aca="false">IF(ISBLANK(Cars!$E$19),"",Y20-X20)</f>
        <v/>
      </c>
      <c r="AA20" s="44" t="str">
        <f aca="false">IF(ISBLANK(Cars!$E$19),"",Z20/(Assumptions!$B$24*IF($B20="EV",Assumptions!$B$27,1)*5))</f>
        <v/>
      </c>
      <c r="AB20" s="45" t="str">
        <f aca="false">IF(ISBLANK(Cars!$E$19),"",RANK(L20,$L$6:$L$31,1))</f>
        <v/>
      </c>
      <c r="AC20" s="45" t="str">
        <f aca="false">IF(ISBLANK(Cars!$E$19),"",RANK(S20,$S$6:$S$31,1))</f>
        <v/>
      </c>
      <c r="AD20" s="45" t="str">
        <f aca="false">IF(ISBLANK(Cars!$E$19),"",RANK(Z20,$Z$6:$Z$31,1))</f>
        <v/>
      </c>
    </row>
    <row r="21" customFormat="false" ht="15" hidden="false" customHeight="false" outlineLevel="0" collapsed="false">
      <c r="A21" s="20" t="n">
        <v>16</v>
      </c>
      <c r="B21" s="37" t="n">
        <f aca="false">Cars!B20</f>
        <v>0</v>
      </c>
      <c r="C21" s="38" t="n">
        <f aca="false">Cars!C20</f>
        <v>0</v>
      </c>
      <c r="D21" s="39" t="n">
        <f aca="false">Cars!D20</f>
        <v>0</v>
      </c>
      <c r="E21" s="40" t="n">
        <f aca="false">Cars!E20</f>
        <v>0</v>
      </c>
      <c r="F21" s="41" t="n">
        <f aca="false">Cars!F20</f>
        <v>0</v>
      </c>
      <c r="G21" s="42" t="str">
        <f aca="false">IF(ISBLANK(Cars!$E$20),"",PMT(Assumptions!$B$5/12,36,-$E21,$E21*Assumptions!$B$6))</f>
        <v/>
      </c>
      <c r="H21" s="42" t="str">
        <f aca="false">IF(ISBLANK(Cars!$E$20),"",(IF($B21="ICE",Assumptions!$B$22/$F21*Assumptions!$B$17+Assumptions!$B$23/($F21*Assumptions!$B$25)*Assumptions!$B$17,Assumptions!$B$22*Assumptions!$B$27*($F21/100)*Assumptions!$B$18+Assumptions!$B$23*Assumptions!$B$27*($F21*Assumptions!$B$26/100)*Assumptions!$B$19))*3)</f>
        <v/>
      </c>
      <c r="I21" s="42" t="str">
        <f aca="false">IF(ISBLANK(Cars!$E$20),"",(IF($B21="ICE",Assumptions!$B$30,Assumptions!$B$31)*3)+($E21*IF($B21="ICE",Assumptions!$B$32,Assumptions!$B$33)*(1-(1-Assumptions!$B$34)^3)/Assumptions!$B$34))</f>
        <v/>
      </c>
      <c r="J21" s="42" t="str">
        <f aca="false">IF(ISBLANK(Cars!$E$20),"",Assumptions!$B$12*(G21-Assumptions!$B$13)*36)</f>
        <v/>
      </c>
      <c r="K21" s="42" t="str">
        <f aca="false">IF(ISBLANK(Cars!$E$20),"",G21*36+$E21*Assumptions!$B$6+H21+I21)</f>
        <v/>
      </c>
      <c r="L21" s="43" t="str">
        <f aca="false">IF(ISBLANK(Cars!$E$20),"",K21-J21)</f>
        <v/>
      </c>
      <c r="M21" s="44" t="str">
        <f aca="false">IF(ISBLANK(Cars!$E$20),"",L21/(Assumptions!$B$24*IF($B21="EV",Assumptions!$B$27,1)*3))</f>
        <v/>
      </c>
      <c r="N21" s="42" t="str">
        <f aca="false">IF(ISBLANK(Cars!$E$20),"",PMT(Assumptions!$B$5/12,48,-$E21,$E21*Assumptions!$B$6))</f>
        <v/>
      </c>
      <c r="O21" s="42" t="str">
        <f aca="false">IF(ISBLANK(Cars!$E$20),"",(IF($B21="ICE",Assumptions!$B$22/$F21*Assumptions!$B$17+Assumptions!$B$23/($F21*Assumptions!$B$25)*Assumptions!$B$17,Assumptions!$B$22*Assumptions!$B$27*($F21/100)*Assumptions!$B$18+Assumptions!$B$23*Assumptions!$B$27*($F21*Assumptions!$B$26/100)*Assumptions!$B$19))*4)</f>
        <v/>
      </c>
      <c r="P21" s="42" t="str">
        <f aca="false">IF(ISBLANK(Cars!$E$20),"",(IF($B21="ICE",Assumptions!$B$30,Assumptions!$B$31)*4)+($E21*IF($B21="ICE",Assumptions!$B$32,Assumptions!$B$33)*(1-(1-Assumptions!$B$34)^4)/Assumptions!$B$34))</f>
        <v/>
      </c>
      <c r="Q21" s="42" t="str">
        <f aca="false">IF(ISBLANK(Cars!$E$20),"",Assumptions!$B$12*(N21-Assumptions!$B$13)*48)</f>
        <v/>
      </c>
      <c r="R21" s="42" t="str">
        <f aca="false">IF(ISBLANK(Cars!$E$20),"",N21*48+$E21*Assumptions!$B$6+O21+P21)</f>
        <v/>
      </c>
      <c r="S21" s="43" t="str">
        <f aca="false">IF(ISBLANK(Cars!$E$20),"",R21-Q21)</f>
        <v/>
      </c>
      <c r="T21" s="44" t="str">
        <f aca="false">IF(ISBLANK(Cars!$E$20),"",S21/(Assumptions!$B$24*IF($B21="EV",Assumptions!$B$27,1)*4))</f>
        <v/>
      </c>
      <c r="U21" s="42" t="str">
        <f aca="false">IF(ISBLANK(Cars!$E$20),"",PMT(Assumptions!$B$5/12,60,-$E21,$E21*Assumptions!$B$6))</f>
        <v/>
      </c>
      <c r="V21" s="42" t="str">
        <f aca="false">IF(ISBLANK(Cars!$E$20),"",(IF($B21="ICE",Assumptions!$B$22/$F21*Assumptions!$B$17+Assumptions!$B$23/($F21*Assumptions!$B$25)*Assumptions!$B$17,Assumptions!$B$22*Assumptions!$B$27*($F21/100)*Assumptions!$B$18+Assumptions!$B$23*Assumptions!$B$27*($F21*Assumptions!$B$26/100)*Assumptions!$B$19))*5)</f>
        <v/>
      </c>
      <c r="W21" s="42" t="str">
        <f aca="false">IF(ISBLANK(Cars!$E$20),"",(IF($B21="ICE",Assumptions!$B$30,Assumptions!$B$31)*5)+($E21*IF($B21="ICE",Assumptions!$B$32,Assumptions!$B$33)*(1-(1-Assumptions!$B$34)^5)/Assumptions!$B$34))</f>
        <v/>
      </c>
      <c r="X21" s="42" t="str">
        <f aca="false">IF(ISBLANK(Cars!$E$20),"",Assumptions!$B$12*(U21-Assumptions!$B$13)*60)</f>
        <v/>
      </c>
      <c r="Y21" s="42" t="str">
        <f aca="false">IF(ISBLANK(Cars!$E$20),"",U21*60+$E21*Assumptions!$B$6+V21+W21)</f>
        <v/>
      </c>
      <c r="Z21" s="43" t="str">
        <f aca="false">IF(ISBLANK(Cars!$E$20),"",Y21-X21)</f>
        <v/>
      </c>
      <c r="AA21" s="44" t="str">
        <f aca="false">IF(ISBLANK(Cars!$E$20),"",Z21/(Assumptions!$B$24*IF($B21="EV",Assumptions!$B$27,1)*5))</f>
        <v/>
      </c>
      <c r="AB21" s="45" t="str">
        <f aca="false">IF(ISBLANK(Cars!$E$20),"",RANK(L21,$L$6:$L$31,1))</f>
        <v/>
      </c>
      <c r="AC21" s="45" t="str">
        <f aca="false">IF(ISBLANK(Cars!$E$20),"",RANK(S21,$S$6:$S$31,1))</f>
        <v/>
      </c>
      <c r="AD21" s="45" t="str">
        <f aca="false">IF(ISBLANK(Cars!$E$20),"",RANK(Z21,$Z$6:$Z$31,1))</f>
        <v/>
      </c>
    </row>
    <row r="22" customFormat="false" ht="15" hidden="false" customHeight="false" outlineLevel="0" collapsed="false">
      <c r="A22" s="20" t="n">
        <v>17</v>
      </c>
      <c r="B22" s="37" t="n">
        <f aca="false">Cars!B21</f>
        <v>0</v>
      </c>
      <c r="C22" s="38" t="n">
        <f aca="false">Cars!C21</f>
        <v>0</v>
      </c>
      <c r="D22" s="39" t="n">
        <f aca="false">Cars!D21</f>
        <v>0</v>
      </c>
      <c r="E22" s="40" t="n">
        <f aca="false">Cars!E21</f>
        <v>0</v>
      </c>
      <c r="F22" s="41" t="n">
        <f aca="false">Cars!F21</f>
        <v>0</v>
      </c>
      <c r="G22" s="42" t="str">
        <f aca="false">IF(ISBLANK(Cars!$E$21),"",PMT(Assumptions!$B$5/12,36,-$E22,$E22*Assumptions!$B$6))</f>
        <v/>
      </c>
      <c r="H22" s="42" t="str">
        <f aca="false">IF(ISBLANK(Cars!$E$21),"",(IF($B22="ICE",Assumptions!$B$22/$F22*Assumptions!$B$17+Assumptions!$B$23/($F22*Assumptions!$B$25)*Assumptions!$B$17,Assumptions!$B$22*Assumptions!$B$27*($F22/100)*Assumptions!$B$18+Assumptions!$B$23*Assumptions!$B$27*($F22*Assumptions!$B$26/100)*Assumptions!$B$19))*3)</f>
        <v/>
      </c>
      <c r="I22" s="42" t="str">
        <f aca="false">IF(ISBLANK(Cars!$E$21),"",(IF($B22="ICE",Assumptions!$B$30,Assumptions!$B$31)*3)+($E22*IF($B22="ICE",Assumptions!$B$32,Assumptions!$B$33)*(1-(1-Assumptions!$B$34)^3)/Assumptions!$B$34))</f>
        <v/>
      </c>
      <c r="J22" s="42" t="str">
        <f aca="false">IF(ISBLANK(Cars!$E$21),"",Assumptions!$B$12*(G22-Assumptions!$B$13)*36)</f>
        <v/>
      </c>
      <c r="K22" s="42" t="str">
        <f aca="false">IF(ISBLANK(Cars!$E$21),"",G22*36+$E22*Assumptions!$B$6+H22+I22)</f>
        <v/>
      </c>
      <c r="L22" s="43" t="str">
        <f aca="false">IF(ISBLANK(Cars!$E$21),"",K22-J22)</f>
        <v/>
      </c>
      <c r="M22" s="44" t="str">
        <f aca="false">IF(ISBLANK(Cars!$E$21),"",L22/(Assumptions!$B$24*IF($B22="EV",Assumptions!$B$27,1)*3))</f>
        <v/>
      </c>
      <c r="N22" s="42" t="str">
        <f aca="false">IF(ISBLANK(Cars!$E$21),"",PMT(Assumptions!$B$5/12,48,-$E22,$E22*Assumptions!$B$6))</f>
        <v/>
      </c>
      <c r="O22" s="42" t="str">
        <f aca="false">IF(ISBLANK(Cars!$E$21),"",(IF($B22="ICE",Assumptions!$B$22/$F22*Assumptions!$B$17+Assumptions!$B$23/($F22*Assumptions!$B$25)*Assumptions!$B$17,Assumptions!$B$22*Assumptions!$B$27*($F22/100)*Assumptions!$B$18+Assumptions!$B$23*Assumptions!$B$27*($F22*Assumptions!$B$26/100)*Assumptions!$B$19))*4)</f>
        <v/>
      </c>
      <c r="P22" s="42" t="str">
        <f aca="false">IF(ISBLANK(Cars!$E$21),"",(IF($B22="ICE",Assumptions!$B$30,Assumptions!$B$31)*4)+($E22*IF($B22="ICE",Assumptions!$B$32,Assumptions!$B$33)*(1-(1-Assumptions!$B$34)^4)/Assumptions!$B$34))</f>
        <v/>
      </c>
      <c r="Q22" s="42" t="str">
        <f aca="false">IF(ISBLANK(Cars!$E$21),"",Assumptions!$B$12*(N22-Assumptions!$B$13)*48)</f>
        <v/>
      </c>
      <c r="R22" s="42" t="str">
        <f aca="false">IF(ISBLANK(Cars!$E$21),"",N22*48+$E22*Assumptions!$B$6+O22+P22)</f>
        <v/>
      </c>
      <c r="S22" s="43" t="str">
        <f aca="false">IF(ISBLANK(Cars!$E$21),"",R22-Q22)</f>
        <v/>
      </c>
      <c r="T22" s="44" t="str">
        <f aca="false">IF(ISBLANK(Cars!$E$21),"",S22/(Assumptions!$B$24*IF($B22="EV",Assumptions!$B$27,1)*4))</f>
        <v/>
      </c>
      <c r="U22" s="42" t="str">
        <f aca="false">IF(ISBLANK(Cars!$E$21),"",PMT(Assumptions!$B$5/12,60,-$E22,$E22*Assumptions!$B$6))</f>
        <v/>
      </c>
      <c r="V22" s="42" t="str">
        <f aca="false">IF(ISBLANK(Cars!$E$21),"",(IF($B22="ICE",Assumptions!$B$22/$F22*Assumptions!$B$17+Assumptions!$B$23/($F22*Assumptions!$B$25)*Assumptions!$B$17,Assumptions!$B$22*Assumptions!$B$27*($F22/100)*Assumptions!$B$18+Assumptions!$B$23*Assumptions!$B$27*($F22*Assumptions!$B$26/100)*Assumptions!$B$19))*5)</f>
        <v/>
      </c>
      <c r="W22" s="42" t="str">
        <f aca="false">IF(ISBLANK(Cars!$E$21),"",(IF($B22="ICE",Assumptions!$B$30,Assumptions!$B$31)*5)+($E22*IF($B22="ICE",Assumptions!$B$32,Assumptions!$B$33)*(1-(1-Assumptions!$B$34)^5)/Assumptions!$B$34))</f>
        <v/>
      </c>
      <c r="X22" s="42" t="str">
        <f aca="false">IF(ISBLANK(Cars!$E$21),"",Assumptions!$B$12*(U22-Assumptions!$B$13)*60)</f>
        <v/>
      </c>
      <c r="Y22" s="42" t="str">
        <f aca="false">IF(ISBLANK(Cars!$E$21),"",U22*60+$E22*Assumptions!$B$6+V22+W22)</f>
        <v/>
      </c>
      <c r="Z22" s="43" t="str">
        <f aca="false">IF(ISBLANK(Cars!$E$21),"",Y22-X22)</f>
        <v/>
      </c>
      <c r="AA22" s="44" t="str">
        <f aca="false">IF(ISBLANK(Cars!$E$21),"",Z22/(Assumptions!$B$24*IF($B22="EV",Assumptions!$B$27,1)*5))</f>
        <v/>
      </c>
      <c r="AB22" s="45" t="str">
        <f aca="false">IF(ISBLANK(Cars!$E$21),"",RANK(L22,$L$6:$L$31,1))</f>
        <v/>
      </c>
      <c r="AC22" s="45" t="str">
        <f aca="false">IF(ISBLANK(Cars!$E$21),"",RANK(S22,$S$6:$S$31,1))</f>
        <v/>
      </c>
      <c r="AD22" s="45" t="str">
        <f aca="false">IF(ISBLANK(Cars!$E$21),"",RANK(Z22,$Z$6:$Z$31,1))</f>
        <v/>
      </c>
    </row>
    <row r="23" customFormat="false" ht="15" hidden="false" customHeight="false" outlineLevel="0" collapsed="false">
      <c r="A23" s="20" t="n">
        <v>18</v>
      </c>
      <c r="B23" s="37" t="n">
        <f aca="false">Cars!B22</f>
        <v>0</v>
      </c>
      <c r="C23" s="38" t="n">
        <f aca="false">Cars!C22</f>
        <v>0</v>
      </c>
      <c r="D23" s="39" t="n">
        <f aca="false">Cars!D22</f>
        <v>0</v>
      </c>
      <c r="E23" s="40" t="n">
        <f aca="false">Cars!E22</f>
        <v>0</v>
      </c>
      <c r="F23" s="41" t="n">
        <f aca="false">Cars!F22</f>
        <v>0</v>
      </c>
      <c r="G23" s="42" t="str">
        <f aca="false">IF(ISBLANK(Cars!$E$22),"",PMT(Assumptions!$B$5/12,36,-$E23,$E23*Assumptions!$B$6))</f>
        <v/>
      </c>
      <c r="H23" s="42" t="str">
        <f aca="false">IF(ISBLANK(Cars!$E$22),"",(IF($B23="ICE",Assumptions!$B$22/$F23*Assumptions!$B$17+Assumptions!$B$23/($F23*Assumptions!$B$25)*Assumptions!$B$17,Assumptions!$B$22*Assumptions!$B$27*($F23/100)*Assumptions!$B$18+Assumptions!$B$23*Assumptions!$B$27*($F23*Assumptions!$B$26/100)*Assumptions!$B$19))*3)</f>
        <v/>
      </c>
      <c r="I23" s="42" t="str">
        <f aca="false">IF(ISBLANK(Cars!$E$22),"",(IF($B23="ICE",Assumptions!$B$30,Assumptions!$B$31)*3)+($E23*IF($B23="ICE",Assumptions!$B$32,Assumptions!$B$33)*(1-(1-Assumptions!$B$34)^3)/Assumptions!$B$34))</f>
        <v/>
      </c>
      <c r="J23" s="42" t="str">
        <f aca="false">IF(ISBLANK(Cars!$E$22),"",Assumptions!$B$12*(G23-Assumptions!$B$13)*36)</f>
        <v/>
      </c>
      <c r="K23" s="42" t="str">
        <f aca="false">IF(ISBLANK(Cars!$E$22),"",G23*36+$E23*Assumptions!$B$6+H23+I23)</f>
        <v/>
      </c>
      <c r="L23" s="43" t="str">
        <f aca="false">IF(ISBLANK(Cars!$E$22),"",K23-J23)</f>
        <v/>
      </c>
      <c r="M23" s="44" t="str">
        <f aca="false">IF(ISBLANK(Cars!$E$22),"",L23/(Assumptions!$B$24*IF($B23="EV",Assumptions!$B$27,1)*3))</f>
        <v/>
      </c>
      <c r="N23" s="42" t="str">
        <f aca="false">IF(ISBLANK(Cars!$E$22),"",PMT(Assumptions!$B$5/12,48,-$E23,$E23*Assumptions!$B$6))</f>
        <v/>
      </c>
      <c r="O23" s="42" t="str">
        <f aca="false">IF(ISBLANK(Cars!$E$22),"",(IF($B23="ICE",Assumptions!$B$22/$F23*Assumptions!$B$17+Assumptions!$B$23/($F23*Assumptions!$B$25)*Assumptions!$B$17,Assumptions!$B$22*Assumptions!$B$27*($F23/100)*Assumptions!$B$18+Assumptions!$B$23*Assumptions!$B$27*($F23*Assumptions!$B$26/100)*Assumptions!$B$19))*4)</f>
        <v/>
      </c>
      <c r="P23" s="42" t="str">
        <f aca="false">IF(ISBLANK(Cars!$E$22),"",(IF($B23="ICE",Assumptions!$B$30,Assumptions!$B$31)*4)+($E23*IF($B23="ICE",Assumptions!$B$32,Assumptions!$B$33)*(1-(1-Assumptions!$B$34)^4)/Assumptions!$B$34))</f>
        <v/>
      </c>
      <c r="Q23" s="42" t="str">
        <f aca="false">IF(ISBLANK(Cars!$E$22),"",Assumptions!$B$12*(N23-Assumptions!$B$13)*48)</f>
        <v/>
      </c>
      <c r="R23" s="42" t="str">
        <f aca="false">IF(ISBLANK(Cars!$E$22),"",N23*48+$E23*Assumptions!$B$6+O23+P23)</f>
        <v/>
      </c>
      <c r="S23" s="43" t="str">
        <f aca="false">IF(ISBLANK(Cars!$E$22),"",R23-Q23)</f>
        <v/>
      </c>
      <c r="T23" s="44" t="str">
        <f aca="false">IF(ISBLANK(Cars!$E$22),"",S23/(Assumptions!$B$24*IF($B23="EV",Assumptions!$B$27,1)*4))</f>
        <v/>
      </c>
      <c r="U23" s="42" t="str">
        <f aca="false">IF(ISBLANK(Cars!$E$22),"",PMT(Assumptions!$B$5/12,60,-$E23,$E23*Assumptions!$B$6))</f>
        <v/>
      </c>
      <c r="V23" s="42" t="str">
        <f aca="false">IF(ISBLANK(Cars!$E$22),"",(IF($B23="ICE",Assumptions!$B$22/$F23*Assumptions!$B$17+Assumptions!$B$23/($F23*Assumptions!$B$25)*Assumptions!$B$17,Assumptions!$B$22*Assumptions!$B$27*($F23/100)*Assumptions!$B$18+Assumptions!$B$23*Assumptions!$B$27*($F23*Assumptions!$B$26/100)*Assumptions!$B$19))*5)</f>
        <v/>
      </c>
      <c r="W23" s="42" t="str">
        <f aca="false">IF(ISBLANK(Cars!$E$22),"",(IF($B23="ICE",Assumptions!$B$30,Assumptions!$B$31)*5)+($E23*IF($B23="ICE",Assumptions!$B$32,Assumptions!$B$33)*(1-(1-Assumptions!$B$34)^5)/Assumptions!$B$34))</f>
        <v/>
      </c>
      <c r="X23" s="42" t="str">
        <f aca="false">IF(ISBLANK(Cars!$E$22),"",Assumptions!$B$12*(U23-Assumptions!$B$13)*60)</f>
        <v/>
      </c>
      <c r="Y23" s="42" t="str">
        <f aca="false">IF(ISBLANK(Cars!$E$22),"",U23*60+$E23*Assumptions!$B$6+V23+W23)</f>
        <v/>
      </c>
      <c r="Z23" s="43" t="str">
        <f aca="false">IF(ISBLANK(Cars!$E$22),"",Y23-X23)</f>
        <v/>
      </c>
      <c r="AA23" s="44" t="str">
        <f aca="false">IF(ISBLANK(Cars!$E$22),"",Z23/(Assumptions!$B$24*IF($B23="EV",Assumptions!$B$27,1)*5))</f>
        <v/>
      </c>
      <c r="AB23" s="45" t="str">
        <f aca="false">IF(ISBLANK(Cars!$E$22),"",RANK(L23,$L$6:$L$31,1))</f>
        <v/>
      </c>
      <c r="AC23" s="45" t="str">
        <f aca="false">IF(ISBLANK(Cars!$E$22),"",RANK(S23,$S$6:$S$31,1))</f>
        <v/>
      </c>
      <c r="AD23" s="45" t="str">
        <f aca="false">IF(ISBLANK(Cars!$E$22),"",RANK(Z23,$Z$6:$Z$31,1))</f>
        <v/>
      </c>
    </row>
    <row r="24" customFormat="false" ht="15" hidden="false" customHeight="false" outlineLevel="0" collapsed="false">
      <c r="A24" s="20" t="n">
        <v>19</v>
      </c>
      <c r="B24" s="37" t="n">
        <f aca="false">Cars!B23</f>
        <v>0</v>
      </c>
      <c r="C24" s="38" t="n">
        <f aca="false">Cars!C23</f>
        <v>0</v>
      </c>
      <c r="D24" s="39" t="n">
        <f aca="false">Cars!D23</f>
        <v>0</v>
      </c>
      <c r="E24" s="40" t="n">
        <f aca="false">Cars!E23</f>
        <v>0</v>
      </c>
      <c r="F24" s="41" t="n">
        <f aca="false">Cars!F23</f>
        <v>0</v>
      </c>
      <c r="G24" s="42" t="str">
        <f aca="false">IF(ISBLANK(Cars!$E$23),"",PMT(Assumptions!$B$5/12,36,-$E24,$E24*Assumptions!$B$6))</f>
        <v/>
      </c>
      <c r="H24" s="42" t="str">
        <f aca="false">IF(ISBLANK(Cars!$E$23),"",(IF($B24="ICE",Assumptions!$B$22/$F24*Assumptions!$B$17+Assumptions!$B$23/($F24*Assumptions!$B$25)*Assumptions!$B$17,Assumptions!$B$22*Assumptions!$B$27*($F24/100)*Assumptions!$B$18+Assumptions!$B$23*Assumptions!$B$27*($F24*Assumptions!$B$26/100)*Assumptions!$B$19))*3)</f>
        <v/>
      </c>
      <c r="I24" s="42" t="str">
        <f aca="false">IF(ISBLANK(Cars!$E$23),"",(IF($B24="ICE",Assumptions!$B$30,Assumptions!$B$31)*3)+($E24*IF($B24="ICE",Assumptions!$B$32,Assumptions!$B$33)*(1-(1-Assumptions!$B$34)^3)/Assumptions!$B$34))</f>
        <v/>
      </c>
      <c r="J24" s="42" t="str">
        <f aca="false">IF(ISBLANK(Cars!$E$23),"",Assumptions!$B$12*(G24-Assumptions!$B$13)*36)</f>
        <v/>
      </c>
      <c r="K24" s="42" t="str">
        <f aca="false">IF(ISBLANK(Cars!$E$23),"",G24*36+$E24*Assumptions!$B$6+H24+I24)</f>
        <v/>
      </c>
      <c r="L24" s="43" t="str">
        <f aca="false">IF(ISBLANK(Cars!$E$23),"",K24-J24)</f>
        <v/>
      </c>
      <c r="M24" s="44" t="str">
        <f aca="false">IF(ISBLANK(Cars!$E$23),"",L24/(Assumptions!$B$24*IF($B24="EV",Assumptions!$B$27,1)*3))</f>
        <v/>
      </c>
      <c r="N24" s="42" t="str">
        <f aca="false">IF(ISBLANK(Cars!$E$23),"",PMT(Assumptions!$B$5/12,48,-$E24,$E24*Assumptions!$B$6))</f>
        <v/>
      </c>
      <c r="O24" s="42" t="str">
        <f aca="false">IF(ISBLANK(Cars!$E$23),"",(IF($B24="ICE",Assumptions!$B$22/$F24*Assumptions!$B$17+Assumptions!$B$23/($F24*Assumptions!$B$25)*Assumptions!$B$17,Assumptions!$B$22*Assumptions!$B$27*($F24/100)*Assumptions!$B$18+Assumptions!$B$23*Assumptions!$B$27*($F24*Assumptions!$B$26/100)*Assumptions!$B$19))*4)</f>
        <v/>
      </c>
      <c r="P24" s="42" t="str">
        <f aca="false">IF(ISBLANK(Cars!$E$23),"",(IF($B24="ICE",Assumptions!$B$30,Assumptions!$B$31)*4)+($E24*IF($B24="ICE",Assumptions!$B$32,Assumptions!$B$33)*(1-(1-Assumptions!$B$34)^4)/Assumptions!$B$34))</f>
        <v/>
      </c>
      <c r="Q24" s="42" t="str">
        <f aca="false">IF(ISBLANK(Cars!$E$23),"",Assumptions!$B$12*(N24-Assumptions!$B$13)*48)</f>
        <v/>
      </c>
      <c r="R24" s="42" t="str">
        <f aca="false">IF(ISBLANK(Cars!$E$23),"",N24*48+$E24*Assumptions!$B$6+O24+P24)</f>
        <v/>
      </c>
      <c r="S24" s="43" t="str">
        <f aca="false">IF(ISBLANK(Cars!$E$23),"",R24-Q24)</f>
        <v/>
      </c>
      <c r="T24" s="44" t="str">
        <f aca="false">IF(ISBLANK(Cars!$E$23),"",S24/(Assumptions!$B$24*IF($B24="EV",Assumptions!$B$27,1)*4))</f>
        <v/>
      </c>
      <c r="U24" s="42" t="str">
        <f aca="false">IF(ISBLANK(Cars!$E$23),"",PMT(Assumptions!$B$5/12,60,-$E24,$E24*Assumptions!$B$6))</f>
        <v/>
      </c>
      <c r="V24" s="42" t="str">
        <f aca="false">IF(ISBLANK(Cars!$E$23),"",(IF($B24="ICE",Assumptions!$B$22/$F24*Assumptions!$B$17+Assumptions!$B$23/($F24*Assumptions!$B$25)*Assumptions!$B$17,Assumptions!$B$22*Assumptions!$B$27*($F24/100)*Assumptions!$B$18+Assumptions!$B$23*Assumptions!$B$27*($F24*Assumptions!$B$26/100)*Assumptions!$B$19))*5)</f>
        <v/>
      </c>
      <c r="W24" s="42" t="str">
        <f aca="false">IF(ISBLANK(Cars!$E$23),"",(IF($B24="ICE",Assumptions!$B$30,Assumptions!$B$31)*5)+($E24*IF($B24="ICE",Assumptions!$B$32,Assumptions!$B$33)*(1-(1-Assumptions!$B$34)^5)/Assumptions!$B$34))</f>
        <v/>
      </c>
      <c r="X24" s="42" t="str">
        <f aca="false">IF(ISBLANK(Cars!$E$23),"",Assumptions!$B$12*(U24-Assumptions!$B$13)*60)</f>
        <v/>
      </c>
      <c r="Y24" s="42" t="str">
        <f aca="false">IF(ISBLANK(Cars!$E$23),"",U24*60+$E24*Assumptions!$B$6+V24+W24)</f>
        <v/>
      </c>
      <c r="Z24" s="43" t="str">
        <f aca="false">IF(ISBLANK(Cars!$E$23),"",Y24-X24)</f>
        <v/>
      </c>
      <c r="AA24" s="44" t="str">
        <f aca="false">IF(ISBLANK(Cars!$E$23),"",Z24/(Assumptions!$B$24*IF($B24="EV",Assumptions!$B$27,1)*5))</f>
        <v/>
      </c>
      <c r="AB24" s="45" t="str">
        <f aca="false">IF(ISBLANK(Cars!$E$23),"",RANK(L24,$L$6:$L$31,1))</f>
        <v/>
      </c>
      <c r="AC24" s="45" t="str">
        <f aca="false">IF(ISBLANK(Cars!$E$23),"",RANK(S24,$S$6:$S$31,1))</f>
        <v/>
      </c>
      <c r="AD24" s="45" t="str">
        <f aca="false">IF(ISBLANK(Cars!$E$23),"",RANK(Z24,$Z$6:$Z$31,1))</f>
        <v/>
      </c>
    </row>
    <row r="25" customFormat="false" ht="15" hidden="false" customHeight="false" outlineLevel="0" collapsed="false">
      <c r="A25" s="20" t="n">
        <v>20</v>
      </c>
      <c r="B25" s="37" t="n">
        <f aca="false">Cars!B24</f>
        <v>0</v>
      </c>
      <c r="C25" s="38" t="n">
        <f aca="false">Cars!C24</f>
        <v>0</v>
      </c>
      <c r="D25" s="39" t="n">
        <f aca="false">Cars!D24</f>
        <v>0</v>
      </c>
      <c r="E25" s="40" t="n">
        <f aca="false">Cars!E24</f>
        <v>0</v>
      </c>
      <c r="F25" s="41" t="n">
        <f aca="false">Cars!F24</f>
        <v>0</v>
      </c>
      <c r="G25" s="42" t="str">
        <f aca="false">IF(ISBLANK(Cars!$E$24),"",PMT(Assumptions!$B$5/12,36,-$E25,$E25*Assumptions!$B$6))</f>
        <v/>
      </c>
      <c r="H25" s="42" t="str">
        <f aca="false">IF(ISBLANK(Cars!$E$24),"",(IF($B25="ICE",Assumptions!$B$22/$F25*Assumptions!$B$17+Assumptions!$B$23/($F25*Assumptions!$B$25)*Assumptions!$B$17,Assumptions!$B$22*Assumptions!$B$27*($F25/100)*Assumptions!$B$18+Assumptions!$B$23*Assumptions!$B$27*($F25*Assumptions!$B$26/100)*Assumptions!$B$19))*3)</f>
        <v/>
      </c>
      <c r="I25" s="42" t="str">
        <f aca="false">IF(ISBLANK(Cars!$E$24),"",(IF($B25="ICE",Assumptions!$B$30,Assumptions!$B$31)*3)+($E25*IF($B25="ICE",Assumptions!$B$32,Assumptions!$B$33)*(1-(1-Assumptions!$B$34)^3)/Assumptions!$B$34))</f>
        <v/>
      </c>
      <c r="J25" s="42" t="str">
        <f aca="false">IF(ISBLANK(Cars!$E$24),"",Assumptions!$B$12*(G25-Assumptions!$B$13)*36)</f>
        <v/>
      </c>
      <c r="K25" s="42" t="str">
        <f aca="false">IF(ISBLANK(Cars!$E$24),"",G25*36+$E25*Assumptions!$B$6+H25+I25)</f>
        <v/>
      </c>
      <c r="L25" s="43" t="str">
        <f aca="false">IF(ISBLANK(Cars!$E$24),"",K25-J25)</f>
        <v/>
      </c>
      <c r="M25" s="44" t="str">
        <f aca="false">IF(ISBLANK(Cars!$E$24),"",L25/(Assumptions!$B$24*IF($B25="EV",Assumptions!$B$27,1)*3))</f>
        <v/>
      </c>
      <c r="N25" s="42" t="str">
        <f aca="false">IF(ISBLANK(Cars!$E$24),"",PMT(Assumptions!$B$5/12,48,-$E25,$E25*Assumptions!$B$6))</f>
        <v/>
      </c>
      <c r="O25" s="42" t="str">
        <f aca="false">IF(ISBLANK(Cars!$E$24),"",(IF($B25="ICE",Assumptions!$B$22/$F25*Assumptions!$B$17+Assumptions!$B$23/($F25*Assumptions!$B$25)*Assumptions!$B$17,Assumptions!$B$22*Assumptions!$B$27*($F25/100)*Assumptions!$B$18+Assumptions!$B$23*Assumptions!$B$27*($F25*Assumptions!$B$26/100)*Assumptions!$B$19))*4)</f>
        <v/>
      </c>
      <c r="P25" s="42" t="str">
        <f aca="false">IF(ISBLANK(Cars!$E$24),"",(IF($B25="ICE",Assumptions!$B$30,Assumptions!$B$31)*4)+($E25*IF($B25="ICE",Assumptions!$B$32,Assumptions!$B$33)*(1-(1-Assumptions!$B$34)^4)/Assumptions!$B$34))</f>
        <v/>
      </c>
      <c r="Q25" s="42" t="str">
        <f aca="false">IF(ISBLANK(Cars!$E$24),"",Assumptions!$B$12*(N25-Assumptions!$B$13)*48)</f>
        <v/>
      </c>
      <c r="R25" s="42" t="str">
        <f aca="false">IF(ISBLANK(Cars!$E$24),"",N25*48+$E25*Assumptions!$B$6+O25+P25)</f>
        <v/>
      </c>
      <c r="S25" s="43" t="str">
        <f aca="false">IF(ISBLANK(Cars!$E$24),"",R25-Q25)</f>
        <v/>
      </c>
      <c r="T25" s="44" t="str">
        <f aca="false">IF(ISBLANK(Cars!$E$24),"",S25/(Assumptions!$B$24*IF($B25="EV",Assumptions!$B$27,1)*4))</f>
        <v/>
      </c>
      <c r="U25" s="42" t="str">
        <f aca="false">IF(ISBLANK(Cars!$E$24),"",PMT(Assumptions!$B$5/12,60,-$E25,$E25*Assumptions!$B$6))</f>
        <v/>
      </c>
      <c r="V25" s="42" t="str">
        <f aca="false">IF(ISBLANK(Cars!$E$24),"",(IF($B25="ICE",Assumptions!$B$22/$F25*Assumptions!$B$17+Assumptions!$B$23/($F25*Assumptions!$B$25)*Assumptions!$B$17,Assumptions!$B$22*Assumptions!$B$27*($F25/100)*Assumptions!$B$18+Assumptions!$B$23*Assumptions!$B$27*($F25*Assumptions!$B$26/100)*Assumptions!$B$19))*5)</f>
        <v/>
      </c>
      <c r="W25" s="42" t="str">
        <f aca="false">IF(ISBLANK(Cars!$E$24),"",(IF($B25="ICE",Assumptions!$B$30,Assumptions!$B$31)*5)+($E25*IF($B25="ICE",Assumptions!$B$32,Assumptions!$B$33)*(1-(1-Assumptions!$B$34)^5)/Assumptions!$B$34))</f>
        <v/>
      </c>
      <c r="X25" s="42" t="str">
        <f aca="false">IF(ISBLANK(Cars!$E$24),"",Assumptions!$B$12*(U25-Assumptions!$B$13)*60)</f>
        <v/>
      </c>
      <c r="Y25" s="42" t="str">
        <f aca="false">IF(ISBLANK(Cars!$E$24),"",U25*60+$E25*Assumptions!$B$6+V25+W25)</f>
        <v/>
      </c>
      <c r="Z25" s="43" t="str">
        <f aca="false">IF(ISBLANK(Cars!$E$24),"",Y25-X25)</f>
        <v/>
      </c>
      <c r="AA25" s="44" t="str">
        <f aca="false">IF(ISBLANK(Cars!$E$24),"",Z25/(Assumptions!$B$24*IF($B25="EV",Assumptions!$B$27,1)*5))</f>
        <v/>
      </c>
      <c r="AB25" s="45" t="str">
        <f aca="false">IF(ISBLANK(Cars!$E$24),"",RANK(L25,$L$6:$L$31,1))</f>
        <v/>
      </c>
      <c r="AC25" s="45" t="str">
        <f aca="false">IF(ISBLANK(Cars!$E$24),"",RANK(S25,$S$6:$S$31,1))</f>
        <v/>
      </c>
      <c r="AD25" s="45" t="str">
        <f aca="false">IF(ISBLANK(Cars!$E$24),"",RANK(Z25,$Z$6:$Z$31,1))</f>
        <v/>
      </c>
    </row>
    <row r="26" customFormat="false" ht="15" hidden="false" customHeight="false" outlineLevel="0" collapsed="false">
      <c r="A26" s="20" t="n">
        <v>21</v>
      </c>
      <c r="B26" s="37" t="n">
        <f aca="false">Cars!B25</f>
        <v>0</v>
      </c>
      <c r="C26" s="38" t="n">
        <f aca="false">Cars!C25</f>
        <v>0</v>
      </c>
      <c r="D26" s="39" t="n">
        <f aca="false">Cars!D25</f>
        <v>0</v>
      </c>
      <c r="E26" s="40" t="n">
        <f aca="false">Cars!E25</f>
        <v>0</v>
      </c>
      <c r="F26" s="41" t="n">
        <f aca="false">Cars!F25</f>
        <v>0</v>
      </c>
      <c r="G26" s="42" t="str">
        <f aca="false">IF(ISBLANK(Cars!$E$25),"",PMT(Assumptions!$B$5/12,36,-$E26,$E26*Assumptions!$B$6))</f>
        <v/>
      </c>
      <c r="H26" s="42" t="str">
        <f aca="false">IF(ISBLANK(Cars!$E$25),"",(IF($B26="ICE",Assumptions!$B$22/$F26*Assumptions!$B$17+Assumptions!$B$23/($F26*Assumptions!$B$25)*Assumptions!$B$17,Assumptions!$B$22*Assumptions!$B$27*($F26/100)*Assumptions!$B$18+Assumptions!$B$23*Assumptions!$B$27*($F26*Assumptions!$B$26/100)*Assumptions!$B$19))*3)</f>
        <v/>
      </c>
      <c r="I26" s="42" t="str">
        <f aca="false">IF(ISBLANK(Cars!$E$25),"",(IF($B26="ICE",Assumptions!$B$30,Assumptions!$B$31)*3)+($E26*IF($B26="ICE",Assumptions!$B$32,Assumptions!$B$33)*(1-(1-Assumptions!$B$34)^3)/Assumptions!$B$34))</f>
        <v/>
      </c>
      <c r="J26" s="42" t="str">
        <f aca="false">IF(ISBLANK(Cars!$E$25),"",Assumptions!$B$12*(G26-Assumptions!$B$13)*36)</f>
        <v/>
      </c>
      <c r="K26" s="42" t="str">
        <f aca="false">IF(ISBLANK(Cars!$E$25),"",G26*36+$E26*Assumptions!$B$6+H26+I26)</f>
        <v/>
      </c>
      <c r="L26" s="43" t="str">
        <f aca="false">IF(ISBLANK(Cars!$E$25),"",K26-J26)</f>
        <v/>
      </c>
      <c r="M26" s="44" t="str">
        <f aca="false">IF(ISBLANK(Cars!$E$25),"",L26/(Assumptions!$B$24*IF($B26="EV",Assumptions!$B$27,1)*3))</f>
        <v/>
      </c>
      <c r="N26" s="42" t="str">
        <f aca="false">IF(ISBLANK(Cars!$E$25),"",PMT(Assumptions!$B$5/12,48,-$E26,$E26*Assumptions!$B$6))</f>
        <v/>
      </c>
      <c r="O26" s="42" t="str">
        <f aca="false">IF(ISBLANK(Cars!$E$25),"",(IF($B26="ICE",Assumptions!$B$22/$F26*Assumptions!$B$17+Assumptions!$B$23/($F26*Assumptions!$B$25)*Assumptions!$B$17,Assumptions!$B$22*Assumptions!$B$27*($F26/100)*Assumptions!$B$18+Assumptions!$B$23*Assumptions!$B$27*($F26*Assumptions!$B$26/100)*Assumptions!$B$19))*4)</f>
        <v/>
      </c>
      <c r="P26" s="42" t="str">
        <f aca="false">IF(ISBLANK(Cars!$E$25),"",(IF($B26="ICE",Assumptions!$B$30,Assumptions!$B$31)*4)+($E26*IF($B26="ICE",Assumptions!$B$32,Assumptions!$B$33)*(1-(1-Assumptions!$B$34)^4)/Assumptions!$B$34))</f>
        <v/>
      </c>
      <c r="Q26" s="42" t="str">
        <f aca="false">IF(ISBLANK(Cars!$E$25),"",Assumptions!$B$12*(N26-Assumptions!$B$13)*48)</f>
        <v/>
      </c>
      <c r="R26" s="42" t="str">
        <f aca="false">IF(ISBLANK(Cars!$E$25),"",N26*48+$E26*Assumptions!$B$6+O26+P26)</f>
        <v/>
      </c>
      <c r="S26" s="43" t="str">
        <f aca="false">IF(ISBLANK(Cars!$E$25),"",R26-Q26)</f>
        <v/>
      </c>
      <c r="T26" s="44" t="str">
        <f aca="false">IF(ISBLANK(Cars!$E$25),"",S26/(Assumptions!$B$24*IF($B26="EV",Assumptions!$B$27,1)*4))</f>
        <v/>
      </c>
      <c r="U26" s="42" t="str">
        <f aca="false">IF(ISBLANK(Cars!$E$25),"",PMT(Assumptions!$B$5/12,60,-$E26,$E26*Assumptions!$B$6))</f>
        <v/>
      </c>
      <c r="V26" s="42" t="str">
        <f aca="false">IF(ISBLANK(Cars!$E$25),"",(IF($B26="ICE",Assumptions!$B$22/$F26*Assumptions!$B$17+Assumptions!$B$23/($F26*Assumptions!$B$25)*Assumptions!$B$17,Assumptions!$B$22*Assumptions!$B$27*($F26/100)*Assumptions!$B$18+Assumptions!$B$23*Assumptions!$B$27*($F26*Assumptions!$B$26/100)*Assumptions!$B$19))*5)</f>
        <v/>
      </c>
      <c r="W26" s="42" t="str">
        <f aca="false">IF(ISBLANK(Cars!$E$25),"",(IF($B26="ICE",Assumptions!$B$30,Assumptions!$B$31)*5)+($E26*IF($B26="ICE",Assumptions!$B$32,Assumptions!$B$33)*(1-(1-Assumptions!$B$34)^5)/Assumptions!$B$34))</f>
        <v/>
      </c>
      <c r="X26" s="42" t="str">
        <f aca="false">IF(ISBLANK(Cars!$E$25),"",Assumptions!$B$12*(U26-Assumptions!$B$13)*60)</f>
        <v/>
      </c>
      <c r="Y26" s="42" t="str">
        <f aca="false">IF(ISBLANK(Cars!$E$25),"",U26*60+$E26*Assumptions!$B$6+V26+W26)</f>
        <v/>
      </c>
      <c r="Z26" s="43" t="str">
        <f aca="false">IF(ISBLANK(Cars!$E$25),"",Y26-X26)</f>
        <v/>
      </c>
      <c r="AA26" s="44" t="str">
        <f aca="false">IF(ISBLANK(Cars!$E$25),"",Z26/(Assumptions!$B$24*IF($B26="EV",Assumptions!$B$27,1)*5))</f>
        <v/>
      </c>
      <c r="AB26" s="45" t="str">
        <f aca="false">IF(ISBLANK(Cars!$E$25),"",RANK(L26,$L$6:$L$31,1))</f>
        <v/>
      </c>
      <c r="AC26" s="45" t="str">
        <f aca="false">IF(ISBLANK(Cars!$E$25),"",RANK(S26,$S$6:$S$31,1))</f>
        <v/>
      </c>
      <c r="AD26" s="45" t="str">
        <f aca="false">IF(ISBLANK(Cars!$E$25),"",RANK(Z26,$Z$6:$Z$31,1))</f>
        <v/>
      </c>
    </row>
    <row r="27" customFormat="false" ht="15" hidden="false" customHeight="false" outlineLevel="0" collapsed="false">
      <c r="A27" s="20" t="n">
        <v>22</v>
      </c>
      <c r="B27" s="37" t="n">
        <f aca="false">Cars!B26</f>
        <v>0</v>
      </c>
      <c r="C27" s="38" t="n">
        <f aca="false">Cars!C26</f>
        <v>0</v>
      </c>
      <c r="D27" s="39" t="n">
        <f aca="false">Cars!D26</f>
        <v>0</v>
      </c>
      <c r="E27" s="40" t="n">
        <f aca="false">Cars!E26</f>
        <v>0</v>
      </c>
      <c r="F27" s="41" t="n">
        <f aca="false">Cars!F26</f>
        <v>0</v>
      </c>
      <c r="G27" s="42" t="str">
        <f aca="false">IF(ISBLANK(Cars!$E$26),"",PMT(Assumptions!$B$5/12,36,-$E27,$E27*Assumptions!$B$6))</f>
        <v/>
      </c>
      <c r="H27" s="42" t="str">
        <f aca="false">IF(ISBLANK(Cars!$E$26),"",(IF($B27="ICE",Assumptions!$B$22/$F27*Assumptions!$B$17+Assumptions!$B$23/($F27*Assumptions!$B$25)*Assumptions!$B$17,Assumptions!$B$22*Assumptions!$B$27*($F27/100)*Assumptions!$B$18+Assumptions!$B$23*Assumptions!$B$27*($F27*Assumptions!$B$26/100)*Assumptions!$B$19))*3)</f>
        <v/>
      </c>
      <c r="I27" s="42" t="str">
        <f aca="false">IF(ISBLANK(Cars!$E$26),"",(IF($B27="ICE",Assumptions!$B$30,Assumptions!$B$31)*3)+($E27*IF($B27="ICE",Assumptions!$B$32,Assumptions!$B$33)*(1-(1-Assumptions!$B$34)^3)/Assumptions!$B$34))</f>
        <v/>
      </c>
      <c r="J27" s="42" t="str">
        <f aca="false">IF(ISBLANK(Cars!$E$26),"",Assumptions!$B$12*(G27-Assumptions!$B$13)*36)</f>
        <v/>
      </c>
      <c r="K27" s="42" t="str">
        <f aca="false">IF(ISBLANK(Cars!$E$26),"",G27*36+$E27*Assumptions!$B$6+H27+I27)</f>
        <v/>
      </c>
      <c r="L27" s="43" t="str">
        <f aca="false">IF(ISBLANK(Cars!$E$26),"",K27-J27)</f>
        <v/>
      </c>
      <c r="M27" s="44" t="str">
        <f aca="false">IF(ISBLANK(Cars!$E$26),"",L27/(Assumptions!$B$24*IF($B27="EV",Assumptions!$B$27,1)*3))</f>
        <v/>
      </c>
      <c r="N27" s="42" t="str">
        <f aca="false">IF(ISBLANK(Cars!$E$26),"",PMT(Assumptions!$B$5/12,48,-$E27,$E27*Assumptions!$B$6))</f>
        <v/>
      </c>
      <c r="O27" s="42" t="str">
        <f aca="false">IF(ISBLANK(Cars!$E$26),"",(IF($B27="ICE",Assumptions!$B$22/$F27*Assumptions!$B$17+Assumptions!$B$23/($F27*Assumptions!$B$25)*Assumptions!$B$17,Assumptions!$B$22*Assumptions!$B$27*($F27/100)*Assumptions!$B$18+Assumptions!$B$23*Assumptions!$B$27*($F27*Assumptions!$B$26/100)*Assumptions!$B$19))*4)</f>
        <v/>
      </c>
      <c r="P27" s="42" t="str">
        <f aca="false">IF(ISBLANK(Cars!$E$26),"",(IF($B27="ICE",Assumptions!$B$30,Assumptions!$B$31)*4)+($E27*IF($B27="ICE",Assumptions!$B$32,Assumptions!$B$33)*(1-(1-Assumptions!$B$34)^4)/Assumptions!$B$34))</f>
        <v/>
      </c>
      <c r="Q27" s="42" t="str">
        <f aca="false">IF(ISBLANK(Cars!$E$26),"",Assumptions!$B$12*(N27-Assumptions!$B$13)*48)</f>
        <v/>
      </c>
      <c r="R27" s="42" t="str">
        <f aca="false">IF(ISBLANK(Cars!$E$26),"",N27*48+$E27*Assumptions!$B$6+O27+P27)</f>
        <v/>
      </c>
      <c r="S27" s="43" t="str">
        <f aca="false">IF(ISBLANK(Cars!$E$26),"",R27-Q27)</f>
        <v/>
      </c>
      <c r="T27" s="44" t="str">
        <f aca="false">IF(ISBLANK(Cars!$E$26),"",S27/(Assumptions!$B$24*IF($B27="EV",Assumptions!$B$27,1)*4))</f>
        <v/>
      </c>
      <c r="U27" s="42" t="str">
        <f aca="false">IF(ISBLANK(Cars!$E$26),"",PMT(Assumptions!$B$5/12,60,-$E27,$E27*Assumptions!$B$6))</f>
        <v/>
      </c>
      <c r="V27" s="42" t="str">
        <f aca="false">IF(ISBLANK(Cars!$E$26),"",(IF($B27="ICE",Assumptions!$B$22/$F27*Assumptions!$B$17+Assumptions!$B$23/($F27*Assumptions!$B$25)*Assumptions!$B$17,Assumptions!$B$22*Assumptions!$B$27*($F27/100)*Assumptions!$B$18+Assumptions!$B$23*Assumptions!$B$27*($F27*Assumptions!$B$26/100)*Assumptions!$B$19))*5)</f>
        <v/>
      </c>
      <c r="W27" s="42" t="str">
        <f aca="false">IF(ISBLANK(Cars!$E$26),"",(IF($B27="ICE",Assumptions!$B$30,Assumptions!$B$31)*5)+($E27*IF($B27="ICE",Assumptions!$B$32,Assumptions!$B$33)*(1-(1-Assumptions!$B$34)^5)/Assumptions!$B$34))</f>
        <v/>
      </c>
      <c r="X27" s="42" t="str">
        <f aca="false">IF(ISBLANK(Cars!$E$26),"",Assumptions!$B$12*(U27-Assumptions!$B$13)*60)</f>
        <v/>
      </c>
      <c r="Y27" s="42" t="str">
        <f aca="false">IF(ISBLANK(Cars!$E$26),"",U27*60+$E27*Assumptions!$B$6+V27+W27)</f>
        <v/>
      </c>
      <c r="Z27" s="43" t="str">
        <f aca="false">IF(ISBLANK(Cars!$E$26),"",Y27-X27)</f>
        <v/>
      </c>
      <c r="AA27" s="44" t="str">
        <f aca="false">IF(ISBLANK(Cars!$E$26),"",Z27/(Assumptions!$B$24*IF($B27="EV",Assumptions!$B$27,1)*5))</f>
        <v/>
      </c>
      <c r="AB27" s="45" t="str">
        <f aca="false">IF(ISBLANK(Cars!$E$26),"",RANK(L27,$L$6:$L$31,1))</f>
        <v/>
      </c>
      <c r="AC27" s="45" t="str">
        <f aca="false">IF(ISBLANK(Cars!$E$26),"",RANK(S27,$S$6:$S$31,1))</f>
        <v/>
      </c>
      <c r="AD27" s="45" t="str">
        <f aca="false">IF(ISBLANK(Cars!$E$26),"",RANK(Z27,$Z$6:$Z$31,1))</f>
        <v/>
      </c>
    </row>
    <row r="28" customFormat="false" ht="15" hidden="false" customHeight="false" outlineLevel="0" collapsed="false">
      <c r="A28" s="20" t="n">
        <v>23</v>
      </c>
      <c r="B28" s="37" t="n">
        <f aca="false">Cars!B27</f>
        <v>0</v>
      </c>
      <c r="C28" s="38" t="n">
        <f aca="false">Cars!C27</f>
        <v>0</v>
      </c>
      <c r="D28" s="39" t="n">
        <f aca="false">Cars!D27</f>
        <v>0</v>
      </c>
      <c r="E28" s="40" t="n">
        <f aca="false">Cars!E27</f>
        <v>0</v>
      </c>
      <c r="F28" s="41" t="n">
        <f aca="false">Cars!F27</f>
        <v>0</v>
      </c>
      <c r="G28" s="42" t="str">
        <f aca="false">IF(ISBLANK(Cars!$E$27),"",PMT(Assumptions!$B$5/12,36,-$E28,$E28*Assumptions!$B$6))</f>
        <v/>
      </c>
      <c r="H28" s="42" t="str">
        <f aca="false">IF(ISBLANK(Cars!$E$27),"",(IF($B28="ICE",Assumptions!$B$22/$F28*Assumptions!$B$17+Assumptions!$B$23/($F28*Assumptions!$B$25)*Assumptions!$B$17,Assumptions!$B$22*Assumptions!$B$27*($F28/100)*Assumptions!$B$18+Assumptions!$B$23*Assumptions!$B$27*($F28*Assumptions!$B$26/100)*Assumptions!$B$19))*3)</f>
        <v/>
      </c>
      <c r="I28" s="42" t="str">
        <f aca="false">IF(ISBLANK(Cars!$E$27),"",(IF($B28="ICE",Assumptions!$B$30,Assumptions!$B$31)*3)+($E28*IF($B28="ICE",Assumptions!$B$32,Assumptions!$B$33)*(1-(1-Assumptions!$B$34)^3)/Assumptions!$B$34))</f>
        <v/>
      </c>
      <c r="J28" s="42" t="str">
        <f aca="false">IF(ISBLANK(Cars!$E$27),"",Assumptions!$B$12*(G28-Assumptions!$B$13)*36)</f>
        <v/>
      </c>
      <c r="K28" s="42" t="str">
        <f aca="false">IF(ISBLANK(Cars!$E$27),"",G28*36+$E28*Assumptions!$B$6+H28+I28)</f>
        <v/>
      </c>
      <c r="L28" s="43" t="str">
        <f aca="false">IF(ISBLANK(Cars!$E$27),"",K28-J28)</f>
        <v/>
      </c>
      <c r="M28" s="44" t="str">
        <f aca="false">IF(ISBLANK(Cars!$E$27),"",L28/(Assumptions!$B$24*IF($B28="EV",Assumptions!$B$27,1)*3))</f>
        <v/>
      </c>
      <c r="N28" s="42" t="str">
        <f aca="false">IF(ISBLANK(Cars!$E$27),"",PMT(Assumptions!$B$5/12,48,-$E28,$E28*Assumptions!$B$6))</f>
        <v/>
      </c>
      <c r="O28" s="42" t="str">
        <f aca="false">IF(ISBLANK(Cars!$E$27),"",(IF($B28="ICE",Assumptions!$B$22/$F28*Assumptions!$B$17+Assumptions!$B$23/($F28*Assumptions!$B$25)*Assumptions!$B$17,Assumptions!$B$22*Assumptions!$B$27*($F28/100)*Assumptions!$B$18+Assumptions!$B$23*Assumptions!$B$27*($F28*Assumptions!$B$26/100)*Assumptions!$B$19))*4)</f>
        <v/>
      </c>
      <c r="P28" s="42" t="str">
        <f aca="false">IF(ISBLANK(Cars!$E$27),"",(IF($B28="ICE",Assumptions!$B$30,Assumptions!$B$31)*4)+($E28*IF($B28="ICE",Assumptions!$B$32,Assumptions!$B$33)*(1-(1-Assumptions!$B$34)^4)/Assumptions!$B$34))</f>
        <v/>
      </c>
      <c r="Q28" s="42" t="str">
        <f aca="false">IF(ISBLANK(Cars!$E$27),"",Assumptions!$B$12*(N28-Assumptions!$B$13)*48)</f>
        <v/>
      </c>
      <c r="R28" s="42" t="str">
        <f aca="false">IF(ISBLANK(Cars!$E$27),"",N28*48+$E28*Assumptions!$B$6+O28+P28)</f>
        <v/>
      </c>
      <c r="S28" s="43" t="str">
        <f aca="false">IF(ISBLANK(Cars!$E$27),"",R28-Q28)</f>
        <v/>
      </c>
      <c r="T28" s="44" t="str">
        <f aca="false">IF(ISBLANK(Cars!$E$27),"",S28/(Assumptions!$B$24*IF($B28="EV",Assumptions!$B$27,1)*4))</f>
        <v/>
      </c>
      <c r="U28" s="42" t="str">
        <f aca="false">IF(ISBLANK(Cars!$E$27),"",PMT(Assumptions!$B$5/12,60,-$E28,$E28*Assumptions!$B$6))</f>
        <v/>
      </c>
      <c r="V28" s="42" t="str">
        <f aca="false">IF(ISBLANK(Cars!$E$27),"",(IF($B28="ICE",Assumptions!$B$22/$F28*Assumptions!$B$17+Assumptions!$B$23/($F28*Assumptions!$B$25)*Assumptions!$B$17,Assumptions!$B$22*Assumptions!$B$27*($F28/100)*Assumptions!$B$18+Assumptions!$B$23*Assumptions!$B$27*($F28*Assumptions!$B$26/100)*Assumptions!$B$19))*5)</f>
        <v/>
      </c>
      <c r="W28" s="42" t="str">
        <f aca="false">IF(ISBLANK(Cars!$E$27),"",(IF($B28="ICE",Assumptions!$B$30,Assumptions!$B$31)*5)+($E28*IF($B28="ICE",Assumptions!$B$32,Assumptions!$B$33)*(1-(1-Assumptions!$B$34)^5)/Assumptions!$B$34))</f>
        <v/>
      </c>
      <c r="X28" s="42" t="str">
        <f aca="false">IF(ISBLANK(Cars!$E$27),"",Assumptions!$B$12*(U28-Assumptions!$B$13)*60)</f>
        <v/>
      </c>
      <c r="Y28" s="42" t="str">
        <f aca="false">IF(ISBLANK(Cars!$E$27),"",U28*60+$E28*Assumptions!$B$6+V28+W28)</f>
        <v/>
      </c>
      <c r="Z28" s="43" t="str">
        <f aca="false">IF(ISBLANK(Cars!$E$27),"",Y28-X28)</f>
        <v/>
      </c>
      <c r="AA28" s="44" t="str">
        <f aca="false">IF(ISBLANK(Cars!$E$27),"",Z28/(Assumptions!$B$24*IF($B28="EV",Assumptions!$B$27,1)*5))</f>
        <v/>
      </c>
      <c r="AB28" s="45" t="str">
        <f aca="false">IF(ISBLANK(Cars!$E$27),"",RANK(L28,$L$6:$L$31,1))</f>
        <v/>
      </c>
      <c r="AC28" s="45" t="str">
        <f aca="false">IF(ISBLANK(Cars!$E$27),"",RANK(S28,$S$6:$S$31,1))</f>
        <v/>
      </c>
      <c r="AD28" s="45" t="str">
        <f aca="false">IF(ISBLANK(Cars!$E$27),"",RANK(Z28,$Z$6:$Z$31,1))</f>
        <v/>
      </c>
    </row>
    <row r="29" customFormat="false" ht="15" hidden="false" customHeight="false" outlineLevel="0" collapsed="false">
      <c r="A29" s="20" t="n">
        <v>24</v>
      </c>
      <c r="B29" s="37" t="n">
        <f aca="false">Cars!B28</f>
        <v>0</v>
      </c>
      <c r="C29" s="38" t="n">
        <f aca="false">Cars!C28</f>
        <v>0</v>
      </c>
      <c r="D29" s="39" t="n">
        <f aca="false">Cars!D28</f>
        <v>0</v>
      </c>
      <c r="E29" s="40" t="n">
        <f aca="false">Cars!E28</f>
        <v>0</v>
      </c>
      <c r="F29" s="41" t="n">
        <f aca="false">Cars!F28</f>
        <v>0</v>
      </c>
      <c r="G29" s="42" t="str">
        <f aca="false">IF(ISBLANK(Cars!$E$28),"",PMT(Assumptions!$B$5/12,36,-$E29,$E29*Assumptions!$B$6))</f>
        <v/>
      </c>
      <c r="H29" s="42" t="str">
        <f aca="false">IF(ISBLANK(Cars!$E$28),"",(IF($B29="ICE",Assumptions!$B$22/$F29*Assumptions!$B$17+Assumptions!$B$23/($F29*Assumptions!$B$25)*Assumptions!$B$17,Assumptions!$B$22*Assumptions!$B$27*($F29/100)*Assumptions!$B$18+Assumptions!$B$23*Assumptions!$B$27*($F29*Assumptions!$B$26/100)*Assumptions!$B$19))*3)</f>
        <v/>
      </c>
      <c r="I29" s="42" t="str">
        <f aca="false">IF(ISBLANK(Cars!$E$28),"",(IF($B29="ICE",Assumptions!$B$30,Assumptions!$B$31)*3)+($E29*IF($B29="ICE",Assumptions!$B$32,Assumptions!$B$33)*(1-(1-Assumptions!$B$34)^3)/Assumptions!$B$34))</f>
        <v/>
      </c>
      <c r="J29" s="42" t="str">
        <f aca="false">IF(ISBLANK(Cars!$E$28),"",Assumptions!$B$12*(G29-Assumptions!$B$13)*36)</f>
        <v/>
      </c>
      <c r="K29" s="42" t="str">
        <f aca="false">IF(ISBLANK(Cars!$E$28),"",G29*36+$E29*Assumptions!$B$6+H29+I29)</f>
        <v/>
      </c>
      <c r="L29" s="43" t="str">
        <f aca="false">IF(ISBLANK(Cars!$E$28),"",K29-J29)</f>
        <v/>
      </c>
      <c r="M29" s="44" t="str">
        <f aca="false">IF(ISBLANK(Cars!$E$28),"",L29/(Assumptions!$B$24*IF($B29="EV",Assumptions!$B$27,1)*3))</f>
        <v/>
      </c>
      <c r="N29" s="42" t="str">
        <f aca="false">IF(ISBLANK(Cars!$E$28),"",PMT(Assumptions!$B$5/12,48,-$E29,$E29*Assumptions!$B$6))</f>
        <v/>
      </c>
      <c r="O29" s="42" t="str">
        <f aca="false">IF(ISBLANK(Cars!$E$28),"",(IF($B29="ICE",Assumptions!$B$22/$F29*Assumptions!$B$17+Assumptions!$B$23/($F29*Assumptions!$B$25)*Assumptions!$B$17,Assumptions!$B$22*Assumptions!$B$27*($F29/100)*Assumptions!$B$18+Assumptions!$B$23*Assumptions!$B$27*($F29*Assumptions!$B$26/100)*Assumptions!$B$19))*4)</f>
        <v/>
      </c>
      <c r="P29" s="42" t="str">
        <f aca="false">IF(ISBLANK(Cars!$E$28),"",(IF($B29="ICE",Assumptions!$B$30,Assumptions!$B$31)*4)+($E29*IF($B29="ICE",Assumptions!$B$32,Assumptions!$B$33)*(1-(1-Assumptions!$B$34)^4)/Assumptions!$B$34))</f>
        <v/>
      </c>
      <c r="Q29" s="42" t="str">
        <f aca="false">IF(ISBLANK(Cars!$E$28),"",Assumptions!$B$12*(N29-Assumptions!$B$13)*48)</f>
        <v/>
      </c>
      <c r="R29" s="42" t="str">
        <f aca="false">IF(ISBLANK(Cars!$E$28),"",N29*48+$E29*Assumptions!$B$6+O29+P29)</f>
        <v/>
      </c>
      <c r="S29" s="43" t="str">
        <f aca="false">IF(ISBLANK(Cars!$E$28),"",R29-Q29)</f>
        <v/>
      </c>
      <c r="T29" s="44" t="str">
        <f aca="false">IF(ISBLANK(Cars!$E$28),"",S29/(Assumptions!$B$24*IF($B29="EV",Assumptions!$B$27,1)*4))</f>
        <v/>
      </c>
      <c r="U29" s="42" t="str">
        <f aca="false">IF(ISBLANK(Cars!$E$28),"",PMT(Assumptions!$B$5/12,60,-$E29,$E29*Assumptions!$B$6))</f>
        <v/>
      </c>
      <c r="V29" s="42" t="str">
        <f aca="false">IF(ISBLANK(Cars!$E$28),"",(IF($B29="ICE",Assumptions!$B$22/$F29*Assumptions!$B$17+Assumptions!$B$23/($F29*Assumptions!$B$25)*Assumptions!$B$17,Assumptions!$B$22*Assumptions!$B$27*($F29/100)*Assumptions!$B$18+Assumptions!$B$23*Assumptions!$B$27*($F29*Assumptions!$B$26/100)*Assumptions!$B$19))*5)</f>
        <v/>
      </c>
      <c r="W29" s="42" t="str">
        <f aca="false">IF(ISBLANK(Cars!$E$28),"",(IF($B29="ICE",Assumptions!$B$30,Assumptions!$B$31)*5)+($E29*IF($B29="ICE",Assumptions!$B$32,Assumptions!$B$33)*(1-(1-Assumptions!$B$34)^5)/Assumptions!$B$34))</f>
        <v/>
      </c>
      <c r="X29" s="42" t="str">
        <f aca="false">IF(ISBLANK(Cars!$E$28),"",Assumptions!$B$12*(U29-Assumptions!$B$13)*60)</f>
        <v/>
      </c>
      <c r="Y29" s="42" t="str">
        <f aca="false">IF(ISBLANK(Cars!$E$28),"",U29*60+$E29*Assumptions!$B$6+V29+W29)</f>
        <v/>
      </c>
      <c r="Z29" s="43" t="str">
        <f aca="false">IF(ISBLANK(Cars!$E$28),"",Y29-X29)</f>
        <v/>
      </c>
      <c r="AA29" s="44" t="str">
        <f aca="false">IF(ISBLANK(Cars!$E$28),"",Z29/(Assumptions!$B$24*IF($B29="EV",Assumptions!$B$27,1)*5))</f>
        <v/>
      </c>
      <c r="AB29" s="45" t="str">
        <f aca="false">IF(ISBLANK(Cars!$E$28),"",RANK(L29,$L$6:$L$31,1))</f>
        <v/>
      </c>
      <c r="AC29" s="45" t="str">
        <f aca="false">IF(ISBLANK(Cars!$E$28),"",RANK(S29,$S$6:$S$31,1))</f>
        <v/>
      </c>
      <c r="AD29" s="45" t="str">
        <f aca="false">IF(ISBLANK(Cars!$E$28),"",RANK(Z29,$Z$6:$Z$31,1))</f>
        <v/>
      </c>
    </row>
    <row r="30" customFormat="false" ht="15" hidden="false" customHeight="false" outlineLevel="0" collapsed="false">
      <c r="A30" s="20" t="n">
        <v>25</v>
      </c>
      <c r="B30" s="37" t="n">
        <f aca="false">Cars!B29</f>
        <v>0</v>
      </c>
      <c r="C30" s="38" t="n">
        <f aca="false">Cars!C29</f>
        <v>0</v>
      </c>
      <c r="D30" s="39" t="n">
        <f aca="false">Cars!D29</f>
        <v>0</v>
      </c>
      <c r="E30" s="40" t="n">
        <f aca="false">Cars!E29</f>
        <v>0</v>
      </c>
      <c r="F30" s="41" t="n">
        <f aca="false">Cars!F29</f>
        <v>0</v>
      </c>
      <c r="G30" s="42" t="str">
        <f aca="false">IF(ISBLANK(Cars!$E$29),"",PMT(Assumptions!$B$5/12,36,-$E30,$E30*Assumptions!$B$6))</f>
        <v/>
      </c>
      <c r="H30" s="42" t="str">
        <f aca="false">IF(ISBLANK(Cars!$E$29),"",(IF($B30="ICE",Assumptions!$B$22/$F30*Assumptions!$B$17+Assumptions!$B$23/($F30*Assumptions!$B$25)*Assumptions!$B$17,Assumptions!$B$22*Assumptions!$B$27*($F30/100)*Assumptions!$B$18+Assumptions!$B$23*Assumptions!$B$27*($F30*Assumptions!$B$26/100)*Assumptions!$B$19))*3)</f>
        <v/>
      </c>
      <c r="I30" s="42" t="str">
        <f aca="false">IF(ISBLANK(Cars!$E$29),"",(IF($B30="ICE",Assumptions!$B$30,Assumptions!$B$31)*3)+($E30*IF($B30="ICE",Assumptions!$B$32,Assumptions!$B$33)*(1-(1-Assumptions!$B$34)^3)/Assumptions!$B$34))</f>
        <v/>
      </c>
      <c r="J30" s="42" t="str">
        <f aca="false">IF(ISBLANK(Cars!$E$29),"",Assumptions!$B$12*(G30-Assumptions!$B$13)*36)</f>
        <v/>
      </c>
      <c r="K30" s="42" t="str">
        <f aca="false">IF(ISBLANK(Cars!$E$29),"",G30*36+$E30*Assumptions!$B$6+H30+I30)</f>
        <v/>
      </c>
      <c r="L30" s="43" t="str">
        <f aca="false">IF(ISBLANK(Cars!$E$29),"",K30-J30)</f>
        <v/>
      </c>
      <c r="M30" s="44" t="str">
        <f aca="false">IF(ISBLANK(Cars!$E$29),"",L30/(Assumptions!$B$24*IF($B30="EV",Assumptions!$B$27,1)*3))</f>
        <v/>
      </c>
      <c r="N30" s="42" t="str">
        <f aca="false">IF(ISBLANK(Cars!$E$29),"",PMT(Assumptions!$B$5/12,48,-$E30,$E30*Assumptions!$B$6))</f>
        <v/>
      </c>
      <c r="O30" s="42" t="str">
        <f aca="false">IF(ISBLANK(Cars!$E$29),"",(IF($B30="ICE",Assumptions!$B$22/$F30*Assumptions!$B$17+Assumptions!$B$23/($F30*Assumptions!$B$25)*Assumptions!$B$17,Assumptions!$B$22*Assumptions!$B$27*($F30/100)*Assumptions!$B$18+Assumptions!$B$23*Assumptions!$B$27*($F30*Assumptions!$B$26/100)*Assumptions!$B$19))*4)</f>
        <v/>
      </c>
      <c r="P30" s="42" t="str">
        <f aca="false">IF(ISBLANK(Cars!$E$29),"",(IF($B30="ICE",Assumptions!$B$30,Assumptions!$B$31)*4)+($E30*IF($B30="ICE",Assumptions!$B$32,Assumptions!$B$33)*(1-(1-Assumptions!$B$34)^4)/Assumptions!$B$34))</f>
        <v/>
      </c>
      <c r="Q30" s="42" t="str">
        <f aca="false">IF(ISBLANK(Cars!$E$29),"",Assumptions!$B$12*(N30-Assumptions!$B$13)*48)</f>
        <v/>
      </c>
      <c r="R30" s="42" t="str">
        <f aca="false">IF(ISBLANK(Cars!$E$29),"",N30*48+$E30*Assumptions!$B$6+O30+P30)</f>
        <v/>
      </c>
      <c r="S30" s="43" t="str">
        <f aca="false">IF(ISBLANK(Cars!$E$29),"",R30-Q30)</f>
        <v/>
      </c>
      <c r="T30" s="44" t="str">
        <f aca="false">IF(ISBLANK(Cars!$E$29),"",S30/(Assumptions!$B$24*IF($B30="EV",Assumptions!$B$27,1)*4))</f>
        <v/>
      </c>
      <c r="U30" s="42" t="str">
        <f aca="false">IF(ISBLANK(Cars!$E$29),"",PMT(Assumptions!$B$5/12,60,-$E30,$E30*Assumptions!$B$6))</f>
        <v/>
      </c>
      <c r="V30" s="42" t="str">
        <f aca="false">IF(ISBLANK(Cars!$E$29),"",(IF($B30="ICE",Assumptions!$B$22/$F30*Assumptions!$B$17+Assumptions!$B$23/($F30*Assumptions!$B$25)*Assumptions!$B$17,Assumptions!$B$22*Assumptions!$B$27*($F30/100)*Assumptions!$B$18+Assumptions!$B$23*Assumptions!$B$27*($F30*Assumptions!$B$26/100)*Assumptions!$B$19))*5)</f>
        <v/>
      </c>
      <c r="W30" s="42" t="str">
        <f aca="false">IF(ISBLANK(Cars!$E$29),"",(IF($B30="ICE",Assumptions!$B$30,Assumptions!$B$31)*5)+($E30*IF($B30="ICE",Assumptions!$B$32,Assumptions!$B$33)*(1-(1-Assumptions!$B$34)^5)/Assumptions!$B$34))</f>
        <v/>
      </c>
      <c r="X30" s="42" t="str">
        <f aca="false">IF(ISBLANK(Cars!$E$29),"",Assumptions!$B$12*(U30-Assumptions!$B$13)*60)</f>
        <v/>
      </c>
      <c r="Y30" s="42" t="str">
        <f aca="false">IF(ISBLANK(Cars!$E$29),"",U30*60+$E30*Assumptions!$B$6+V30+W30)</f>
        <v/>
      </c>
      <c r="Z30" s="43" t="str">
        <f aca="false">IF(ISBLANK(Cars!$E$29),"",Y30-X30)</f>
        <v/>
      </c>
      <c r="AA30" s="44" t="str">
        <f aca="false">IF(ISBLANK(Cars!$E$29),"",Z30/(Assumptions!$B$24*IF($B30="EV",Assumptions!$B$27,1)*5))</f>
        <v/>
      </c>
      <c r="AB30" s="45" t="str">
        <f aca="false">IF(ISBLANK(Cars!$E$29),"",RANK(L30,$L$6:$L$31,1))</f>
        <v/>
      </c>
      <c r="AC30" s="45" t="str">
        <f aca="false">IF(ISBLANK(Cars!$E$29),"",RANK(S30,$S$6:$S$31,1))</f>
        <v/>
      </c>
      <c r="AD30" s="45" t="str">
        <f aca="false">IF(ISBLANK(Cars!$E$29),"",RANK(Z30,$Z$6:$Z$31,1))</f>
        <v/>
      </c>
    </row>
    <row r="31" customFormat="false" ht="15" hidden="false" customHeight="false" outlineLevel="0" collapsed="false">
      <c r="A31" s="20" t="n">
        <v>26</v>
      </c>
      <c r="B31" s="37" t="n">
        <f aca="false">Cars!B30</f>
        <v>0</v>
      </c>
      <c r="C31" s="38" t="n">
        <f aca="false">Cars!C30</f>
        <v>0</v>
      </c>
      <c r="D31" s="39" t="n">
        <f aca="false">Cars!D30</f>
        <v>0</v>
      </c>
      <c r="E31" s="40" t="n">
        <f aca="false">Cars!E30</f>
        <v>0</v>
      </c>
      <c r="F31" s="41" t="n">
        <f aca="false">Cars!F30</f>
        <v>0</v>
      </c>
      <c r="G31" s="42" t="str">
        <f aca="false">IF(ISBLANK(Cars!$E$30),"",PMT(Assumptions!$B$5/12,36,-$E31,$E31*Assumptions!$B$6))</f>
        <v/>
      </c>
      <c r="H31" s="42" t="str">
        <f aca="false">IF(ISBLANK(Cars!$E$30),"",(IF($B31="ICE",Assumptions!$B$22/$F31*Assumptions!$B$17+Assumptions!$B$23/($F31*Assumptions!$B$25)*Assumptions!$B$17,Assumptions!$B$22*Assumptions!$B$27*($F31/100)*Assumptions!$B$18+Assumptions!$B$23*Assumptions!$B$27*($F31*Assumptions!$B$26/100)*Assumptions!$B$19))*3)</f>
        <v/>
      </c>
      <c r="I31" s="42" t="str">
        <f aca="false">IF(ISBLANK(Cars!$E$30),"",(IF($B31="ICE",Assumptions!$B$30,Assumptions!$B$31)*3)+($E31*IF($B31="ICE",Assumptions!$B$32,Assumptions!$B$33)*(1-(1-Assumptions!$B$34)^3)/Assumptions!$B$34))</f>
        <v/>
      </c>
      <c r="J31" s="42" t="str">
        <f aca="false">IF(ISBLANK(Cars!$E$30),"",Assumptions!$B$12*(G31-Assumptions!$B$13)*36)</f>
        <v/>
      </c>
      <c r="K31" s="42" t="str">
        <f aca="false">IF(ISBLANK(Cars!$E$30),"",G31*36+$E31*Assumptions!$B$6+H31+I31)</f>
        <v/>
      </c>
      <c r="L31" s="43" t="str">
        <f aca="false">IF(ISBLANK(Cars!$E$30),"",K31-J31)</f>
        <v/>
      </c>
      <c r="M31" s="44" t="str">
        <f aca="false">IF(ISBLANK(Cars!$E$30),"",L31/(Assumptions!$B$24*IF($B31="EV",Assumptions!$B$27,1)*3))</f>
        <v/>
      </c>
      <c r="N31" s="42" t="str">
        <f aca="false">IF(ISBLANK(Cars!$E$30),"",PMT(Assumptions!$B$5/12,48,-$E31,$E31*Assumptions!$B$6))</f>
        <v/>
      </c>
      <c r="O31" s="42" t="str">
        <f aca="false">IF(ISBLANK(Cars!$E$30),"",(IF($B31="ICE",Assumptions!$B$22/$F31*Assumptions!$B$17+Assumptions!$B$23/($F31*Assumptions!$B$25)*Assumptions!$B$17,Assumptions!$B$22*Assumptions!$B$27*($F31/100)*Assumptions!$B$18+Assumptions!$B$23*Assumptions!$B$27*($F31*Assumptions!$B$26/100)*Assumptions!$B$19))*4)</f>
        <v/>
      </c>
      <c r="P31" s="42" t="str">
        <f aca="false">IF(ISBLANK(Cars!$E$30),"",(IF($B31="ICE",Assumptions!$B$30,Assumptions!$B$31)*4)+($E31*IF($B31="ICE",Assumptions!$B$32,Assumptions!$B$33)*(1-(1-Assumptions!$B$34)^4)/Assumptions!$B$34))</f>
        <v/>
      </c>
      <c r="Q31" s="42" t="str">
        <f aca="false">IF(ISBLANK(Cars!$E$30),"",Assumptions!$B$12*(N31-Assumptions!$B$13)*48)</f>
        <v/>
      </c>
      <c r="R31" s="42" t="str">
        <f aca="false">IF(ISBLANK(Cars!$E$30),"",N31*48+$E31*Assumptions!$B$6+O31+P31)</f>
        <v/>
      </c>
      <c r="S31" s="43" t="str">
        <f aca="false">IF(ISBLANK(Cars!$E$30),"",R31-Q31)</f>
        <v/>
      </c>
      <c r="T31" s="44" t="str">
        <f aca="false">IF(ISBLANK(Cars!$E$30),"",S31/(Assumptions!$B$24*IF($B31="EV",Assumptions!$B$27,1)*4))</f>
        <v/>
      </c>
      <c r="U31" s="42" t="str">
        <f aca="false">IF(ISBLANK(Cars!$E$30),"",PMT(Assumptions!$B$5/12,60,-$E31,$E31*Assumptions!$B$6))</f>
        <v/>
      </c>
      <c r="V31" s="42" t="str">
        <f aca="false">IF(ISBLANK(Cars!$E$30),"",(IF($B31="ICE",Assumptions!$B$22/$F31*Assumptions!$B$17+Assumptions!$B$23/($F31*Assumptions!$B$25)*Assumptions!$B$17,Assumptions!$B$22*Assumptions!$B$27*($F31/100)*Assumptions!$B$18+Assumptions!$B$23*Assumptions!$B$27*($F31*Assumptions!$B$26/100)*Assumptions!$B$19))*5)</f>
        <v/>
      </c>
      <c r="W31" s="42" t="str">
        <f aca="false">IF(ISBLANK(Cars!$E$30),"",(IF($B31="ICE",Assumptions!$B$30,Assumptions!$B$31)*5)+($E31*IF($B31="ICE",Assumptions!$B$32,Assumptions!$B$33)*(1-(1-Assumptions!$B$34)^5)/Assumptions!$B$34))</f>
        <v/>
      </c>
      <c r="X31" s="42" t="str">
        <f aca="false">IF(ISBLANK(Cars!$E$30),"",Assumptions!$B$12*(U31-Assumptions!$B$13)*60)</f>
        <v/>
      </c>
      <c r="Y31" s="42" t="str">
        <f aca="false">IF(ISBLANK(Cars!$E$30),"",U31*60+$E31*Assumptions!$B$6+V31+W31)</f>
        <v/>
      </c>
      <c r="Z31" s="43" t="str">
        <f aca="false">IF(ISBLANK(Cars!$E$30),"",Y31-X31)</f>
        <v/>
      </c>
      <c r="AA31" s="44" t="str">
        <f aca="false">IF(ISBLANK(Cars!$E$30),"",Z31/(Assumptions!$B$24*IF($B31="EV",Assumptions!$B$27,1)*5))</f>
        <v/>
      </c>
      <c r="AB31" s="45" t="str">
        <f aca="false">IF(ISBLANK(Cars!$E$30),"",RANK(L31,$L$6:$L$31,1))</f>
        <v/>
      </c>
      <c r="AC31" s="45" t="str">
        <f aca="false">IF(ISBLANK(Cars!$E$30),"",RANK(S31,$S$6:$S$31,1))</f>
        <v/>
      </c>
      <c r="AD31" s="45" t="str">
        <f aca="false">IF(ISBLANK(Cars!$E$30),"",RANK(Z31,$Z$6:$Z$31,1))</f>
        <v/>
      </c>
    </row>
  </sheetData>
  <mergeCells count="6">
    <mergeCell ref="A1:AD1"/>
    <mergeCell ref="A2:AD2"/>
    <mergeCell ref="G4:M4"/>
    <mergeCell ref="N4:T4"/>
    <mergeCell ref="U4:AA4"/>
    <mergeCell ref="AB4:AD4"/>
  </mergeCells>
  <conditionalFormatting sqref="G6:G31">
    <cfRule type="cellIs" priority="2" operator="greaterThan" aboveAverage="0" equalAverage="0" bottom="0" percent="0" rank="0" text="" dxfId="0">
      <formula>Assumptions!$B$14</formula>
    </cfRule>
  </conditionalFormatting>
  <conditionalFormatting sqref="N6:N31">
    <cfRule type="cellIs" priority="3" operator="greaterThan" aboveAverage="0" equalAverage="0" bottom="0" percent="0" rank="0" text="" dxfId="0">
      <formula>Assumptions!$B$14</formula>
    </cfRule>
  </conditionalFormatting>
  <conditionalFormatting sqref="U6:U31">
    <cfRule type="cellIs" priority="4" operator="greaterThan" aboveAverage="0" equalAverage="0" bottom="0" percent="0" rank="0" text="" dxfId="0">
      <formula>Assumptions!$B$14</formula>
    </cfRule>
  </conditionalFormatting>
  <conditionalFormatting sqref="AB6:AB31">
    <cfRule type="cellIs" priority="5" operator="equal" aboveAverage="0" equalAverage="0" bottom="0" percent="0" rank="0" text="" dxfId="1">
      <formula>1</formula>
    </cfRule>
  </conditionalFormatting>
  <conditionalFormatting sqref="AC6:AC31">
    <cfRule type="cellIs" priority="6" operator="equal" aboveAverage="0" equalAverage="0" bottom="0" percent="0" rank="0" text="" dxfId="1">
      <formula>1</formula>
    </cfRule>
  </conditionalFormatting>
  <conditionalFormatting sqref="AD6:AD31">
    <cfRule type="cellIs" priority="7" operator="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9" min="7" style="0" width="13"/>
    <col collapsed="false" customWidth="true" hidden="false" outlineLevel="0" max="10" min="10" style="0" width="26"/>
  </cols>
  <sheetData>
    <row r="1" customFormat="false" ht="24" hidden="false" customHeight="true" outlineLevel="0" collapsed="false">
      <c r="A1" s="4" t="s">
        <v>134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25.5" hidden="false" customHeight="true" outlineLevel="0" collapsed="false">
      <c r="A2" s="18" t="s">
        <v>135</v>
      </c>
      <c r="B2" s="18"/>
      <c r="C2" s="18"/>
      <c r="D2" s="18"/>
      <c r="E2" s="18"/>
      <c r="F2" s="18"/>
      <c r="G2" s="18"/>
      <c r="H2" s="18"/>
      <c r="I2" s="18"/>
      <c r="J2" s="18"/>
    </row>
    <row r="4" customFormat="false" ht="15" hidden="false" customHeight="false" outlineLevel="0" collapsed="false">
      <c r="A4" s="46" t="s">
        <v>136</v>
      </c>
      <c r="B4" s="46"/>
      <c r="C4" s="46"/>
      <c r="D4" s="47" t="n">
        <v>6</v>
      </c>
      <c r="E4" s="48" t="str">
        <f aca="false">"Reference: "&amp;INDEX('Lease Comparison'!$C$6:$C$31,$D$4-6+1)&amp;" ("&amp;INDEX('Lease Comparison'!$D$6:$D$31,$D$4-6+1)&amp;")"</f>
        <v>Reference: Tata Nexon (Petrol Creative DCT (Automatic))</v>
      </c>
      <c r="F4" s="48"/>
      <c r="G4" s="48"/>
      <c r="H4" s="48"/>
      <c r="I4" s="48"/>
      <c r="J4" s="48"/>
    </row>
    <row r="6" customFormat="false" ht="31.5" hidden="false" customHeight="true" outlineLevel="0" collapsed="false">
      <c r="A6" s="35" t="s">
        <v>64</v>
      </c>
      <c r="B6" s="35" t="s">
        <v>65</v>
      </c>
      <c r="C6" s="35" t="s">
        <v>122</v>
      </c>
      <c r="D6" s="35" t="s">
        <v>67</v>
      </c>
      <c r="E6" s="35" t="s">
        <v>68</v>
      </c>
      <c r="F6" s="35" t="s">
        <v>137</v>
      </c>
      <c r="G6" s="35" t="s">
        <v>138</v>
      </c>
      <c r="H6" s="35" t="s">
        <v>139</v>
      </c>
      <c r="I6" s="35" t="s">
        <v>140</v>
      </c>
      <c r="J6" s="35" t="s">
        <v>141</v>
      </c>
    </row>
    <row r="7" customFormat="false" ht="15" hidden="false" customHeight="false" outlineLevel="0" collapsed="false">
      <c r="A7" s="20" t="n">
        <v>1</v>
      </c>
      <c r="B7" s="37" t="str">
        <f aca="false">'Lease Comparison'!B6</f>
        <v>ICE</v>
      </c>
      <c r="C7" s="38" t="str">
        <f aca="false">'Lease Comparison'!C6</f>
        <v>Tata Nexon</v>
      </c>
      <c r="D7" s="39" t="str">
        <f aca="false">'Lease Comparison'!D6</f>
        <v>Petrol Creative DCT (Automatic)</v>
      </c>
      <c r="E7" s="40" t="n">
        <f aca="false">'Lease Comparison'!E6</f>
        <v>1328000</v>
      </c>
      <c r="F7" s="44" t="n">
        <f aca="false">IF(ISBLANK(Cars!$E$5),"",IF($B7="ICE",Assumptions!$B$17*((Assumptions!$B$22/Assumptions!$B$24)/'Lease Comparison'!$F6+(Assumptions!$B$23/Assumptions!$B$24)/('Lease Comparison'!$F6*Assumptions!$B$25)),('Lease Comparison'!$F6/100)*((Assumptions!$B$22/Assumptions!$B$24)*Assumptions!$B$18+(Assumptions!$B$23/Assumptions!$B$24)*Assumptions!$B$26*Assumptions!$B$19)))</f>
        <v>10.6888888888889</v>
      </c>
      <c r="G7" s="15" t="str">
        <f aca="false">IF(OR(ISBLANK(Cars!$E$5),$B7&lt;&gt;"EV"),"—",IFERROR((('Lease Comparison'!G6*36+'Lease Comparison'!$E6*Assumptions!$B$6+'Lease Comparison'!I6-'Lease Comparison'!J6)-(INDEX('Lease Comparison'!$G$6:$G$31,$D$4-6+1)*36+INDEX('Lease Comparison'!$E$6:$E$31,$D$4-6+1)*Assumptions!$B$6+INDEX('Lease Comparison'!$I$6:$I$31,$D$4-6+1)-INDEX('Lease Comparison'!$J$6:$J$31,$D$4-6+1)))/(3*((INDEX($F$7:$F$32,$D$4-6+1))-F7)),"n/a"))</f>
        <v>—</v>
      </c>
      <c r="H7" s="15" t="str">
        <f aca="false">IF(OR(ISBLANK(Cars!$E$5),$B7&lt;&gt;"EV"),"—",IFERROR((('Lease Comparison'!N6*48+'Lease Comparison'!$E6*Assumptions!$B$6+'Lease Comparison'!P6-'Lease Comparison'!Q6)-(INDEX('Lease Comparison'!$N$6:$N$31,$D$4-6+1)*48+INDEX('Lease Comparison'!$E$6:$E$31,$D$4-6+1)*Assumptions!$B$6+INDEX('Lease Comparison'!$P$6:$P$31,$D$4-6+1)-INDEX('Lease Comparison'!$Q$6:$Q$31,$D$4-6+1)))/(4*((INDEX($F$7:$F$32,$D$4-6+1))-F7)),"n/a"))</f>
        <v>—</v>
      </c>
      <c r="I7" s="15" t="str">
        <f aca="false">IF(OR(ISBLANK(Cars!$E$5),$B7&lt;&gt;"EV"),"—",IFERROR((('Lease Comparison'!U6*60+'Lease Comparison'!$E6*Assumptions!$B$6+'Lease Comparison'!W6-'Lease Comparison'!X6)-(INDEX('Lease Comparison'!$U$6:$U$31,$D$4-6+1)*60+INDEX('Lease Comparison'!$E$6:$E$31,$D$4-6+1)*Assumptions!$B$6+INDEX('Lease Comparison'!$W$6:$W$31,$D$4-6+1)-INDEX('Lease Comparison'!$X$6:$X$31,$D$4-6+1)))/(5*((INDEX($F$7:$F$32,$D$4-6+1))-F7)),"n/a"))</f>
        <v>—</v>
      </c>
      <c r="J7" s="22" t="str">
        <f aca="false">IF(OR(ISBLANK(Cars!$E$5),$B7&lt;&gt;"EV"),"—",IF(G7="n/a","n/a",IF(G7&lt;=Assumptions!$B$24,"Already cheaper today","Needs "&amp;TEXT(G7-Assumptions!$B$24,"#,##0")&amp;" more km/yr (3yr basis)")))</f>
        <v>—</v>
      </c>
    </row>
    <row r="8" customFormat="false" ht="15" hidden="false" customHeight="false" outlineLevel="0" collapsed="false">
      <c r="A8" s="20" t="n">
        <v>2</v>
      </c>
      <c r="B8" s="37" t="str">
        <f aca="false">'Lease Comparison'!B7</f>
        <v>ICE</v>
      </c>
      <c r="C8" s="38" t="str">
        <f aca="false">'Lease Comparison'!C7</f>
        <v>Hyundai Creta</v>
      </c>
      <c r="D8" s="39" t="str">
        <f aca="false">'Lease Comparison'!D7</f>
        <v>SX Tech iVT Petrol (360° cam)</v>
      </c>
      <c r="E8" s="40" t="n">
        <f aca="false">'Lease Comparison'!E7</f>
        <v>1979000</v>
      </c>
      <c r="F8" s="44" t="n">
        <f aca="false">IF(ISBLANK(Cars!$E$6),"",IF($B8="ICE",Assumptions!$B$17*((Assumptions!$B$22/Assumptions!$B$24)/'Lease Comparison'!$F7+(Assumptions!$B$23/Assumptions!$B$24)/('Lease Comparison'!$F7*Assumptions!$B$25)),('Lease Comparison'!$F7/100)*((Assumptions!$B$22/Assumptions!$B$24)*Assumptions!$B$18+(Assumptions!$B$23/Assumptions!$B$24)*Assumptions!$B$26*Assumptions!$B$19)))</f>
        <v>10.6888888888889</v>
      </c>
      <c r="G8" s="15" t="str">
        <f aca="false">IF(OR(ISBLANK(Cars!$E$6),$B8&lt;&gt;"EV"),"—",IFERROR((('Lease Comparison'!G7*36+'Lease Comparison'!$E7*Assumptions!$B$6+'Lease Comparison'!I7-'Lease Comparison'!J7)-(INDEX('Lease Comparison'!$G$6:$G$31,$D$4-6+1)*36+INDEX('Lease Comparison'!$E$6:$E$31,$D$4-6+1)*Assumptions!$B$6+INDEX('Lease Comparison'!$I$6:$I$31,$D$4-6+1)-INDEX('Lease Comparison'!$J$6:$J$31,$D$4-6+1)))/(3*((INDEX($F$7:$F$32,$D$4-6+1))-F8)),"n/a"))</f>
        <v>—</v>
      </c>
      <c r="H8" s="15" t="str">
        <f aca="false">IF(OR(ISBLANK(Cars!$E$6),$B8&lt;&gt;"EV"),"—",IFERROR((('Lease Comparison'!N7*48+'Lease Comparison'!$E7*Assumptions!$B$6+'Lease Comparison'!P7-'Lease Comparison'!Q7)-(INDEX('Lease Comparison'!$N$6:$N$31,$D$4-6+1)*48+INDEX('Lease Comparison'!$E$6:$E$31,$D$4-6+1)*Assumptions!$B$6+INDEX('Lease Comparison'!$P$6:$P$31,$D$4-6+1)-INDEX('Lease Comparison'!$Q$6:$Q$31,$D$4-6+1)))/(4*((INDEX($F$7:$F$32,$D$4-6+1))-F8)),"n/a"))</f>
        <v>—</v>
      </c>
      <c r="I8" s="15" t="str">
        <f aca="false">IF(OR(ISBLANK(Cars!$E$6),$B8&lt;&gt;"EV"),"—",IFERROR((('Lease Comparison'!U7*60+'Lease Comparison'!$E7*Assumptions!$B$6+'Lease Comparison'!W7-'Lease Comparison'!X7)-(INDEX('Lease Comparison'!$U$6:$U$31,$D$4-6+1)*60+INDEX('Lease Comparison'!$E$6:$E$31,$D$4-6+1)*Assumptions!$B$6+INDEX('Lease Comparison'!$W$6:$W$31,$D$4-6+1)-INDEX('Lease Comparison'!$X$6:$X$31,$D$4-6+1)))/(5*((INDEX($F$7:$F$32,$D$4-6+1))-F8)),"n/a"))</f>
        <v>—</v>
      </c>
      <c r="J8" s="22" t="str">
        <f aca="false">IF(OR(ISBLANK(Cars!$E$6),$B8&lt;&gt;"EV"),"—",IF(G8="n/a","n/a",IF(G8&lt;=Assumptions!$B$24,"Already cheaper today","Needs "&amp;TEXT(G8-Assumptions!$B$24,"#,##0")&amp;" more km/yr (3yr basis)")))</f>
        <v>—</v>
      </c>
    </row>
    <row r="9" customFormat="false" ht="15" hidden="false" customHeight="false" outlineLevel="0" collapsed="false">
      <c r="A9" s="20" t="n">
        <v>3</v>
      </c>
      <c r="B9" s="37" t="str">
        <f aca="false">'Lease Comparison'!B8</f>
        <v>ICE</v>
      </c>
      <c r="C9" s="38" t="str">
        <f aca="false">'Lease Comparison'!C8</f>
        <v>Mahindra XUV 3XO</v>
      </c>
      <c r="D9" s="39" t="str">
        <f aca="false">'Lease Comparison'!D8</f>
        <v>AX5L TGDi Automatic</v>
      </c>
      <c r="E9" s="40" t="n">
        <f aca="false">'Lease Comparison'!E8</f>
        <v>1758000</v>
      </c>
      <c r="F9" s="44" t="n">
        <f aca="false">IF(ISBLANK(Cars!$E$7),"",IF($B9="ICE",Assumptions!$B$17*((Assumptions!$B$22/Assumptions!$B$24)/'Lease Comparison'!$F8+(Assumptions!$B$23/Assumptions!$B$24)/('Lease Comparison'!$F8*Assumptions!$B$25)),('Lease Comparison'!$F8/100)*((Assumptions!$B$22/Assumptions!$B$24)*Assumptions!$B$18+(Assumptions!$B$23/Assumptions!$B$24)*Assumptions!$B$26*Assumptions!$B$19)))</f>
        <v>11.2514619883041</v>
      </c>
      <c r="G9" s="15" t="str">
        <f aca="false">IF(OR(ISBLANK(Cars!$E$7),$B9&lt;&gt;"EV"),"—",IFERROR((('Lease Comparison'!G8*36+'Lease Comparison'!$E8*Assumptions!$B$6+'Lease Comparison'!I8-'Lease Comparison'!J8)-(INDEX('Lease Comparison'!$G$6:$G$31,$D$4-6+1)*36+INDEX('Lease Comparison'!$E$6:$E$31,$D$4-6+1)*Assumptions!$B$6+INDEX('Lease Comparison'!$I$6:$I$31,$D$4-6+1)-INDEX('Lease Comparison'!$J$6:$J$31,$D$4-6+1)))/(3*((INDEX($F$7:$F$32,$D$4-6+1))-F9)),"n/a"))</f>
        <v>—</v>
      </c>
      <c r="H9" s="15" t="str">
        <f aca="false">IF(OR(ISBLANK(Cars!$E$7),$B9&lt;&gt;"EV"),"—",IFERROR((('Lease Comparison'!N8*48+'Lease Comparison'!$E8*Assumptions!$B$6+'Lease Comparison'!P8-'Lease Comparison'!Q8)-(INDEX('Lease Comparison'!$N$6:$N$31,$D$4-6+1)*48+INDEX('Lease Comparison'!$E$6:$E$31,$D$4-6+1)*Assumptions!$B$6+INDEX('Lease Comparison'!$P$6:$P$31,$D$4-6+1)-INDEX('Lease Comparison'!$Q$6:$Q$31,$D$4-6+1)))/(4*((INDEX($F$7:$F$32,$D$4-6+1))-F9)),"n/a"))</f>
        <v>—</v>
      </c>
      <c r="I9" s="15" t="str">
        <f aca="false">IF(OR(ISBLANK(Cars!$E$7),$B9&lt;&gt;"EV"),"—",IFERROR((('Lease Comparison'!U8*60+'Lease Comparison'!$E8*Assumptions!$B$6+'Lease Comparison'!W8-'Lease Comparison'!X8)-(INDEX('Lease Comparison'!$U$6:$U$31,$D$4-6+1)*60+INDEX('Lease Comparison'!$E$6:$E$31,$D$4-6+1)*Assumptions!$B$6+INDEX('Lease Comparison'!$W$6:$W$31,$D$4-6+1)-INDEX('Lease Comparison'!$X$6:$X$31,$D$4-6+1)))/(5*((INDEX($F$7:$F$32,$D$4-6+1))-F9)),"n/a"))</f>
        <v>—</v>
      </c>
      <c r="J9" s="22" t="str">
        <f aca="false">IF(OR(ISBLANK(Cars!$E$7),$B9&lt;&gt;"EV"),"—",IF(G9="n/a","n/a",IF(G9&lt;=Assumptions!$B$24,"Already cheaper today","Needs "&amp;TEXT(G9-Assumptions!$B$24,"#,##0")&amp;" more km/yr (3yr basis)")))</f>
        <v>—</v>
      </c>
    </row>
    <row r="10" customFormat="false" ht="15" hidden="false" customHeight="false" outlineLevel="0" collapsed="false">
      <c r="A10" s="20" t="n">
        <v>4</v>
      </c>
      <c r="B10" s="37" t="str">
        <f aca="false">'Lease Comparison'!B9</f>
        <v>ICE</v>
      </c>
      <c r="C10" s="38" t="str">
        <f aca="false">'Lease Comparison'!C9</f>
        <v>Mahindra XUV 3XO</v>
      </c>
      <c r="D10" s="39" t="str">
        <f aca="false">'Lease Comparison'!D9</f>
        <v>AX7L TGDi Automatic (top)</v>
      </c>
      <c r="E10" s="40" t="n">
        <f aca="false">'Lease Comparison'!E9</f>
        <v>1785000</v>
      </c>
      <c r="F10" s="44" t="n">
        <f aca="false">IF(ISBLANK(Cars!$E$8),"",IF($B10="ICE",Assumptions!$B$17*((Assumptions!$B$22/Assumptions!$B$24)/'Lease Comparison'!$F9+(Assumptions!$B$23/Assumptions!$B$24)/('Lease Comparison'!$F9*Assumptions!$B$25)),('Lease Comparison'!$F9/100)*((Assumptions!$B$22/Assumptions!$B$24)*Assumptions!$B$18+(Assumptions!$B$23/Assumptions!$B$24)*Assumptions!$B$26*Assumptions!$B$19)))</f>
        <v>10.6888888888889</v>
      </c>
      <c r="G10" s="15" t="str">
        <f aca="false">IF(OR(ISBLANK(Cars!$E$8),$B10&lt;&gt;"EV"),"—",IFERROR((('Lease Comparison'!G9*36+'Lease Comparison'!$E9*Assumptions!$B$6+'Lease Comparison'!I9-'Lease Comparison'!J9)-(INDEX('Lease Comparison'!$G$6:$G$31,$D$4-6+1)*36+INDEX('Lease Comparison'!$E$6:$E$31,$D$4-6+1)*Assumptions!$B$6+INDEX('Lease Comparison'!$I$6:$I$31,$D$4-6+1)-INDEX('Lease Comparison'!$J$6:$J$31,$D$4-6+1)))/(3*((INDEX($F$7:$F$32,$D$4-6+1))-F10)),"n/a"))</f>
        <v>—</v>
      </c>
      <c r="H10" s="15" t="str">
        <f aca="false">IF(OR(ISBLANK(Cars!$E$8),$B10&lt;&gt;"EV"),"—",IFERROR((('Lease Comparison'!N9*48+'Lease Comparison'!$E9*Assumptions!$B$6+'Lease Comparison'!P9-'Lease Comparison'!Q9)-(INDEX('Lease Comparison'!$N$6:$N$31,$D$4-6+1)*48+INDEX('Lease Comparison'!$E$6:$E$31,$D$4-6+1)*Assumptions!$B$6+INDEX('Lease Comparison'!$P$6:$P$31,$D$4-6+1)-INDEX('Lease Comparison'!$Q$6:$Q$31,$D$4-6+1)))/(4*((INDEX($F$7:$F$32,$D$4-6+1))-F10)),"n/a"))</f>
        <v>—</v>
      </c>
      <c r="I10" s="15" t="str">
        <f aca="false">IF(OR(ISBLANK(Cars!$E$8),$B10&lt;&gt;"EV"),"—",IFERROR((('Lease Comparison'!U9*60+'Lease Comparison'!$E9*Assumptions!$B$6+'Lease Comparison'!W9-'Lease Comparison'!X9)-(INDEX('Lease Comparison'!$U$6:$U$31,$D$4-6+1)*60+INDEX('Lease Comparison'!$E$6:$E$31,$D$4-6+1)*Assumptions!$B$6+INDEX('Lease Comparison'!$W$6:$W$31,$D$4-6+1)-INDEX('Lease Comparison'!$X$6:$X$31,$D$4-6+1)))/(5*((INDEX($F$7:$F$32,$D$4-6+1))-F10)),"n/a"))</f>
        <v>—</v>
      </c>
      <c r="J10" s="22" t="str">
        <f aca="false">IF(OR(ISBLANK(Cars!$E$8),$B10&lt;&gt;"EV"),"—",IF(G10="n/a","n/a",IF(G10&lt;=Assumptions!$B$24,"Already cheaper today","Needs "&amp;TEXT(G10-Assumptions!$B$24,"#,##0")&amp;" more km/yr (3yr basis)")))</f>
        <v>—</v>
      </c>
    </row>
    <row r="11" customFormat="false" ht="22.35" hidden="false" customHeight="false" outlineLevel="0" collapsed="false">
      <c r="A11" s="20" t="n">
        <v>5</v>
      </c>
      <c r="B11" s="37" t="str">
        <f aca="false">'Lease Comparison'!B10</f>
        <v>ICE</v>
      </c>
      <c r="C11" s="38" t="str">
        <f aca="false">'Lease Comparison'!C10</f>
        <v>Honda Elevate</v>
      </c>
      <c r="D11" s="39" t="str">
        <f aca="false">'Lease Comparison'!D10</f>
        <v>ZX CVT Automatic (360° cam via Lite Pack)</v>
      </c>
      <c r="E11" s="40" t="n">
        <f aca="false">'Lease Comparison'!E10</f>
        <v>1865000</v>
      </c>
      <c r="F11" s="44" t="n">
        <f aca="false">IF(ISBLANK(Cars!$E$9),"",IF($B11="ICE",Assumptions!$B$17*((Assumptions!$B$22/Assumptions!$B$24)/'Lease Comparison'!$F10+(Assumptions!$B$23/Assumptions!$B$24)/('Lease Comparison'!$F10*Assumptions!$B$25)),('Lease Comparison'!$F10/100)*((Assumptions!$B$22/Assumptions!$B$24)*Assumptions!$B$18+(Assumptions!$B$23/Assumptions!$B$24)*Assumptions!$B$26*Assumptions!$B$19)))</f>
        <v>9.71717171717171</v>
      </c>
      <c r="G11" s="15" t="str">
        <f aca="false">IF(OR(ISBLANK(Cars!$E$9),$B11&lt;&gt;"EV"),"—",IFERROR((('Lease Comparison'!G10*36+'Lease Comparison'!$E10*Assumptions!$B$6+'Lease Comparison'!I10-'Lease Comparison'!J10)-(INDEX('Lease Comparison'!$G$6:$G$31,$D$4-6+1)*36+INDEX('Lease Comparison'!$E$6:$E$31,$D$4-6+1)*Assumptions!$B$6+INDEX('Lease Comparison'!$I$6:$I$31,$D$4-6+1)-INDEX('Lease Comparison'!$J$6:$J$31,$D$4-6+1)))/(3*((INDEX($F$7:$F$32,$D$4-6+1))-F11)),"n/a"))</f>
        <v>—</v>
      </c>
      <c r="H11" s="15" t="str">
        <f aca="false">IF(OR(ISBLANK(Cars!$E$9),$B11&lt;&gt;"EV"),"—",IFERROR((('Lease Comparison'!N10*48+'Lease Comparison'!$E10*Assumptions!$B$6+'Lease Comparison'!P10-'Lease Comparison'!Q10)-(INDEX('Lease Comparison'!$N$6:$N$31,$D$4-6+1)*48+INDEX('Lease Comparison'!$E$6:$E$31,$D$4-6+1)*Assumptions!$B$6+INDEX('Lease Comparison'!$P$6:$P$31,$D$4-6+1)-INDEX('Lease Comparison'!$Q$6:$Q$31,$D$4-6+1)))/(4*((INDEX($F$7:$F$32,$D$4-6+1))-F11)),"n/a"))</f>
        <v>—</v>
      </c>
      <c r="I11" s="15" t="str">
        <f aca="false">IF(OR(ISBLANK(Cars!$E$9),$B11&lt;&gt;"EV"),"—",IFERROR((('Lease Comparison'!U10*60+'Lease Comparison'!$E10*Assumptions!$B$6+'Lease Comparison'!W10-'Lease Comparison'!X10)-(INDEX('Lease Comparison'!$U$6:$U$31,$D$4-6+1)*60+INDEX('Lease Comparison'!$E$6:$E$31,$D$4-6+1)*Assumptions!$B$6+INDEX('Lease Comparison'!$W$6:$W$31,$D$4-6+1)-INDEX('Lease Comparison'!$X$6:$X$31,$D$4-6+1)))/(5*((INDEX($F$7:$F$32,$D$4-6+1))-F11)),"n/a"))</f>
        <v>—</v>
      </c>
      <c r="J11" s="22" t="str">
        <f aca="false">IF(OR(ISBLANK(Cars!$E$9),$B11&lt;&gt;"EV"),"—",IF(G11="n/a","n/a",IF(G11&lt;=Assumptions!$B$24,"Already cheaper today","Needs "&amp;TEXT(G11-Assumptions!$B$24,"#,##0")&amp;" more km/yr (3yr basis)")))</f>
        <v>—</v>
      </c>
    </row>
    <row r="12" customFormat="false" ht="22.35" hidden="false" customHeight="false" outlineLevel="0" collapsed="false">
      <c r="A12" s="20" t="n">
        <v>6</v>
      </c>
      <c r="B12" s="37" t="str">
        <f aca="false">'Lease Comparison'!B11</f>
        <v>EV</v>
      </c>
      <c r="C12" s="38" t="str">
        <f aca="false">'Lease Comparison'!C11</f>
        <v>Tata Curvv EV</v>
      </c>
      <c r="D12" s="39" t="str">
        <f aca="false">'Lease Comparison'!D11</f>
        <v>Accomplished X, 55kWh</v>
      </c>
      <c r="E12" s="40" t="n">
        <f aca="false">'Lease Comparison'!E11</f>
        <v>1775000</v>
      </c>
      <c r="F12" s="44" t="n">
        <f aca="false">IF(ISBLANK(Cars!$E$10),"",IF($B12="ICE",Assumptions!$B$17*((Assumptions!$B$22/Assumptions!$B$24)/'Lease Comparison'!$F11+(Assumptions!$B$23/Assumptions!$B$24)/('Lease Comparison'!$F11*Assumptions!$B$25)),('Lease Comparison'!$F11/100)*((Assumptions!$B$22/Assumptions!$B$24)*Assumptions!$B$18+(Assumptions!$B$23/Assumptions!$B$24)*Assumptions!$B$26*Assumptions!$B$19)))</f>
        <v>1.82</v>
      </c>
      <c r="G12" s="15" t="n">
        <f aca="false">IF(OR(ISBLANK(Cars!$E$10),$B12&lt;&gt;"EV"),"—",IFERROR((('Lease Comparison'!G11*36+'Lease Comparison'!$E11*Assumptions!$B$6+'Lease Comparison'!I11-'Lease Comparison'!J11)-(INDEX('Lease Comparison'!$G$6:$G$31,$D$4-6+1)*36+INDEX('Lease Comparison'!$E$6:$E$31,$D$4-6+1)*Assumptions!$B$6+INDEX('Lease Comparison'!$I$6:$I$31,$D$4-6+1)-INDEX('Lease Comparison'!$J$6:$J$31,$D$4-6+1)))/(3*((INDEX($F$7:$F$32,$D$4-6+1))-F12)),"n/a"))</f>
        <v>16272.9301225011</v>
      </c>
      <c r="H12" s="15" t="n">
        <f aca="false">IF(OR(ISBLANK(Cars!$E$10),$B12&lt;&gt;"EV"),"—",IFERROR((('Lease Comparison'!N11*48+'Lease Comparison'!$E11*Assumptions!$B$6+'Lease Comparison'!P11-'Lease Comparison'!Q11)-(INDEX('Lease Comparison'!$N$6:$N$31,$D$4-6+1)*48+INDEX('Lease Comparison'!$E$6:$E$31,$D$4-6+1)*Assumptions!$B$6+INDEX('Lease Comparison'!$P$6:$P$31,$D$4-6+1)-INDEX('Lease Comparison'!$Q$6:$Q$31,$D$4-6+1)))/(4*((INDEX($F$7:$F$32,$D$4-6+1))-F12)),"n/a"))</f>
        <v>13077.7418766677</v>
      </c>
      <c r="I12" s="15" t="n">
        <f aca="false">IF(OR(ISBLANK(Cars!$E$10),$B12&lt;&gt;"EV"),"—",IFERROR((('Lease Comparison'!U11*60+'Lease Comparison'!$E11*Assumptions!$B$6+'Lease Comparison'!W11-'Lease Comparison'!X11)-(INDEX('Lease Comparison'!$U$6:$U$31,$D$4-6+1)*60+INDEX('Lease Comparison'!$E$6:$E$31,$D$4-6+1)*Assumptions!$B$6+INDEX('Lease Comparison'!$W$6:$W$31,$D$4-6+1)-INDEX('Lease Comparison'!$X$6:$X$31,$D$4-6+1)))/(5*((INDEX($F$7:$F$32,$D$4-6+1))-F12)),"n/a"))</f>
        <v>11113.4685905343</v>
      </c>
      <c r="J12" s="22" t="str">
        <f aca="false">IF(OR(ISBLANK(Cars!$E$10),$B12&lt;&gt;"EV"),"—",IF(G12="n/a","n/a",IF(G12&lt;=Assumptions!$B$24,"Already cheaper today","Needs "&amp;TEXT(G12-Assumptions!$B$24,"#,##0")&amp;" more km/yr (3yr basis)")))</f>
        <v>Needs 4,273 more km/yr (3yr basis)</v>
      </c>
    </row>
    <row r="13" customFormat="false" ht="22.35" hidden="false" customHeight="false" outlineLevel="0" collapsed="false">
      <c r="A13" s="20" t="n">
        <v>7</v>
      </c>
      <c r="B13" s="37" t="str">
        <f aca="false">'Lease Comparison'!B12</f>
        <v>EV</v>
      </c>
      <c r="C13" s="38" t="str">
        <f aca="false">'Lease Comparison'!C12</f>
        <v>Hyundai Creta Electric</v>
      </c>
      <c r="D13" s="39" t="str">
        <f aca="false">'Lease Comparison'!D12</f>
        <v>Excellence, 42kWh (360° cam)</v>
      </c>
      <c r="E13" s="40" t="n">
        <f aca="false">'Lease Comparison'!E12</f>
        <v>2250000</v>
      </c>
      <c r="F13" s="44" t="n">
        <f aca="false">IF(ISBLANK(Cars!$E$11),"",IF($B13="ICE",Assumptions!$B$17*((Assumptions!$B$22/Assumptions!$B$24)/'Lease Comparison'!$F12+(Assumptions!$B$23/Assumptions!$B$24)/('Lease Comparison'!$F12*Assumptions!$B$25)),('Lease Comparison'!$F12/100)*((Assumptions!$B$22/Assumptions!$B$24)*Assumptions!$B$18+(Assumptions!$B$23/Assumptions!$B$24)*Assumptions!$B$26*Assumptions!$B$19)))</f>
        <v>1.755</v>
      </c>
      <c r="G13" s="15" t="n">
        <f aca="false">IF(OR(ISBLANK(Cars!$E$11),$B13&lt;&gt;"EV"),"—",IFERROR((('Lease Comparison'!G12*36+'Lease Comparison'!$E12*Assumptions!$B$6+'Lease Comparison'!I12-'Lease Comparison'!J12)-(INDEX('Lease Comparison'!$G$6:$G$31,$D$4-6+1)*36+INDEX('Lease Comparison'!$E$6:$E$31,$D$4-6+1)*Assumptions!$B$6+INDEX('Lease Comparison'!$I$6:$I$31,$D$4-6+1)-INDEX('Lease Comparison'!$J$6:$J$31,$D$4-6+1)))/(3*((INDEX($F$7:$F$32,$D$4-6+1))-F13)),"n/a"))</f>
        <v>32772.6393620148</v>
      </c>
      <c r="H13" s="15" t="n">
        <f aca="false">IF(OR(ISBLANK(Cars!$E$11),$B13&lt;&gt;"EV"),"—",IFERROR((('Lease Comparison'!N12*48+'Lease Comparison'!$E12*Assumptions!$B$6+'Lease Comparison'!P12-'Lease Comparison'!Q12)-(INDEX('Lease Comparison'!$N$6:$N$31,$D$4-6+1)*48+INDEX('Lease Comparison'!$E$6:$E$31,$D$4-6+1)*Assumptions!$B$6+INDEX('Lease Comparison'!$P$6:$P$31,$D$4-6+1)-INDEX('Lease Comparison'!$Q$6:$Q$31,$D$4-6+1)))/(4*((INDEX($F$7:$F$32,$D$4-6+1))-F13)),"n/a"))</f>
        <v>26306.9537057337</v>
      </c>
      <c r="I13" s="15" t="n">
        <f aca="false">IF(OR(ISBLANK(Cars!$E$11),$B13&lt;&gt;"EV"),"—",IFERROR((('Lease Comparison'!U12*60+'Lease Comparison'!$E12*Assumptions!$B$6+'Lease Comparison'!W12-'Lease Comparison'!X12)-(INDEX('Lease Comparison'!$U$6:$U$31,$D$4-6+1)*60+INDEX('Lease Comparison'!$E$6:$E$31,$D$4-6+1)*Assumptions!$B$6+INDEX('Lease Comparison'!$W$6:$W$31,$D$4-6+1)-INDEX('Lease Comparison'!$X$6:$X$31,$D$4-6+1)))/(5*((INDEX($F$7:$F$32,$D$4-6+1))-F13)),"n/a"))</f>
        <v>22354.2567947342</v>
      </c>
      <c r="J13" s="22" t="str">
        <f aca="false">IF(OR(ISBLANK(Cars!$E$11),$B13&lt;&gt;"EV"),"—",IF(G13="n/a","n/a",IF(G13&lt;=Assumptions!$B$24,"Already cheaper today","Needs "&amp;TEXT(G13-Assumptions!$B$24,"#,##0")&amp;" more km/yr (3yr basis)")))</f>
        <v>Needs 20,773 more km/yr (3yr basis)</v>
      </c>
    </row>
    <row r="14" customFormat="false" ht="22.35" hidden="false" customHeight="false" outlineLevel="0" collapsed="false">
      <c r="A14" s="20" t="n">
        <v>8</v>
      </c>
      <c r="B14" s="37" t="str">
        <f aca="false">'Lease Comparison'!B13</f>
        <v>EV</v>
      </c>
      <c r="C14" s="38" t="str">
        <f aca="false">'Lease Comparison'!C13</f>
        <v>Hyundai Creta Electric</v>
      </c>
      <c r="D14" s="39" t="str">
        <f aca="false">'Lease Comparison'!D13</f>
        <v>Excellence LR, 51.4kWh (360° cam)</v>
      </c>
      <c r="E14" s="40" t="n">
        <f aca="false">'Lease Comparison'!E13</f>
        <v>2530000</v>
      </c>
      <c r="F14" s="44" t="n">
        <f aca="false">IF(ISBLANK(Cars!$E$12),"",IF($B14="ICE",Assumptions!$B$17*((Assumptions!$B$22/Assumptions!$B$24)/'Lease Comparison'!$F13+(Assumptions!$B$23/Assumptions!$B$24)/('Lease Comparison'!$F13*Assumptions!$B$25)),('Lease Comparison'!$F13/100)*((Assumptions!$B$22/Assumptions!$B$24)*Assumptions!$B$18+(Assumptions!$B$23/Assumptions!$B$24)*Assumptions!$B$26*Assumptions!$B$19)))</f>
        <v>1.807</v>
      </c>
      <c r="G14" s="15" t="n">
        <f aca="false">IF(OR(ISBLANK(Cars!$E$12),$B14&lt;&gt;"EV"),"—",IFERROR((('Lease Comparison'!G13*36+'Lease Comparison'!$E13*Assumptions!$B$6+'Lease Comparison'!I13-'Lease Comparison'!J13)-(INDEX('Lease Comparison'!$G$6:$G$31,$D$4-6+1)*36+INDEX('Lease Comparison'!$E$6:$E$31,$D$4-6+1)*Assumptions!$B$6+INDEX('Lease Comparison'!$I$6:$I$31,$D$4-6+1)-INDEX('Lease Comparison'!$J$6:$J$31,$D$4-6+1)))/(3*((INDEX($F$7:$F$32,$D$4-6+1))-F14)),"n/a"))</f>
        <v>42817.7977578596</v>
      </c>
      <c r="H14" s="15" t="n">
        <f aca="false">IF(OR(ISBLANK(Cars!$E$12),$B14&lt;&gt;"EV"),"—",IFERROR((('Lease Comparison'!N13*48+'Lease Comparison'!$E13*Assumptions!$B$6+'Lease Comparison'!P13-'Lease Comparison'!Q13)-(INDEX('Lease Comparison'!$N$6:$N$31,$D$4-6+1)*48+INDEX('Lease Comparison'!$E$6:$E$31,$D$4-6+1)*Assumptions!$B$6+INDEX('Lease Comparison'!$P$6:$P$31,$D$4-6+1)-INDEX('Lease Comparison'!$Q$6:$Q$31,$D$4-6+1)))/(4*((INDEX($F$7:$F$32,$D$4-6+1))-F14)),"n/a"))</f>
        <v>34361.315134324</v>
      </c>
      <c r="I14" s="15" t="n">
        <f aca="false">IF(OR(ISBLANK(Cars!$E$12),$B14&lt;&gt;"EV"),"—",IFERROR((('Lease Comparison'!U13*60+'Lease Comparison'!$E13*Assumptions!$B$6+'Lease Comparison'!W13-'Lease Comparison'!X13)-(INDEX('Lease Comparison'!$U$6:$U$31,$D$4-6+1)*60+INDEX('Lease Comparison'!$E$6:$E$31,$D$4-6+1)*Assumptions!$B$6+INDEX('Lease Comparison'!$W$6:$W$31,$D$4-6+1)-INDEX('Lease Comparison'!$X$6:$X$31,$D$4-6+1)))/(5*((INDEX($F$7:$F$32,$D$4-6+1))-F14)),"n/a"))</f>
        <v>29198.0172718212</v>
      </c>
      <c r="J14" s="22" t="str">
        <f aca="false">IF(OR(ISBLANK(Cars!$E$12),$B14&lt;&gt;"EV"),"—",IF(G14="n/a","n/a",IF(G14&lt;=Assumptions!$B$24,"Already cheaper today","Needs "&amp;TEXT(G14-Assumptions!$B$24,"#,##0")&amp;" more km/yr (3yr basis)")))</f>
        <v>Needs 30,818 more km/yr (3yr basis)</v>
      </c>
    </row>
    <row r="15" customFormat="false" ht="22.35" hidden="false" customHeight="false" outlineLevel="0" collapsed="false">
      <c r="A15" s="20" t="n">
        <v>9</v>
      </c>
      <c r="B15" s="37" t="str">
        <f aca="false">'Lease Comparison'!B14</f>
        <v>EV</v>
      </c>
      <c r="C15" s="38" t="str">
        <f aca="false">'Lease Comparison'!C14</f>
        <v>MG Windsor EV</v>
      </c>
      <c r="D15" s="39" t="str">
        <f aca="false">'Lease Comparison'!D14</f>
        <v>Essence Pro, 52.9kWh (360° cam)</v>
      </c>
      <c r="E15" s="40" t="n">
        <f aca="false">'Lease Comparison'!E14</f>
        <v>1980000</v>
      </c>
      <c r="F15" s="44" t="n">
        <f aca="false">IF(ISBLANK(Cars!$E$13),"",IF($B15="ICE",Assumptions!$B$17*((Assumptions!$B$22/Assumptions!$B$24)/'Lease Comparison'!$F14+(Assumptions!$B$23/Assumptions!$B$24)/('Lease Comparison'!$F14*Assumptions!$B$25)),('Lease Comparison'!$F14/100)*((Assumptions!$B$22/Assumptions!$B$24)*Assumptions!$B$18+(Assumptions!$B$23/Assumptions!$B$24)*Assumptions!$B$26*Assumptions!$B$19)))</f>
        <v>1.716</v>
      </c>
      <c r="G15" s="15" t="n">
        <f aca="false">IF(OR(ISBLANK(Cars!$E$13),$B15&lt;&gt;"EV"),"—",IFERROR((('Lease Comparison'!G14*36+'Lease Comparison'!$E14*Assumptions!$B$6+'Lease Comparison'!I14-'Lease Comparison'!J14)-(INDEX('Lease Comparison'!$G$6:$G$31,$D$4-6+1)*36+INDEX('Lease Comparison'!$E$6:$E$31,$D$4-6+1)*Assumptions!$B$6+INDEX('Lease Comparison'!$I$6:$I$31,$D$4-6+1)-INDEX('Lease Comparison'!$J$6:$J$31,$D$4-6+1)))/(3*((INDEX($F$7:$F$32,$D$4-6+1))-F15)),"n/a"))</f>
        <v>23225.1710848832</v>
      </c>
      <c r="H15" s="15" t="n">
        <f aca="false">IF(OR(ISBLANK(Cars!$E$13),$B15&lt;&gt;"EV"),"—",IFERROR((('Lease Comparison'!N14*48+'Lease Comparison'!$E14*Assumptions!$B$6+'Lease Comparison'!P14-'Lease Comparison'!Q14)-(INDEX('Lease Comparison'!$N$6:$N$31,$D$4-6+1)*48+INDEX('Lease Comparison'!$E$6:$E$31,$D$4-6+1)*Assumptions!$B$6+INDEX('Lease Comparison'!$P$6:$P$31,$D$4-6+1)-INDEX('Lease Comparison'!$Q$6:$Q$31,$D$4-6+1)))/(4*((INDEX($F$7:$F$32,$D$4-6+1))-F15)),"n/a"))</f>
        <v>18651.6842649141</v>
      </c>
      <c r="I15" s="15" t="n">
        <f aca="false">IF(OR(ISBLANK(Cars!$E$13),$B15&lt;&gt;"EV"),"—",IFERROR((('Lease Comparison'!U14*60+'Lease Comparison'!$E14*Assumptions!$B$6+'Lease Comparison'!W14-'Lease Comparison'!X14)-(INDEX('Lease Comparison'!$U$6:$U$31,$D$4-6+1)*60+INDEX('Lease Comparison'!$E$6:$E$31,$D$4-6+1)*Assumptions!$B$6+INDEX('Lease Comparison'!$W$6:$W$31,$D$4-6+1)-INDEX('Lease Comparison'!$X$6:$X$31,$D$4-6+1)))/(5*((INDEX($F$7:$F$32,$D$4-6+1))-F15)),"n/a"))</f>
        <v>15849.6049330163</v>
      </c>
      <c r="J15" s="22" t="str">
        <f aca="false">IF(OR(ISBLANK(Cars!$E$13),$B15&lt;&gt;"EV"),"—",IF(G15="n/a","n/a",IF(G15&lt;=Assumptions!$B$24,"Already cheaper today","Needs "&amp;TEXT(G15-Assumptions!$B$24,"#,##0")&amp;" more km/yr (3yr basis)")))</f>
        <v>Needs 11,225 more km/yr (3yr basis)</v>
      </c>
    </row>
    <row r="16" customFormat="false" ht="15" hidden="false" customHeight="false" outlineLevel="0" collapsed="false">
      <c r="A16" s="20" t="n">
        <v>10</v>
      </c>
      <c r="B16" s="37" t="str">
        <f aca="false">'Lease Comparison'!B15</f>
        <v>EV</v>
      </c>
      <c r="C16" s="38" t="str">
        <f aca="false">'Lease Comparison'!C15</f>
        <v>Mahindra XUV 3XO EV</v>
      </c>
      <c r="D16" s="39" t="str">
        <f aca="false">'Lease Comparison'!D15</f>
        <v>AX7L (top, 360° cam standard)</v>
      </c>
      <c r="E16" s="40" t="n">
        <f aca="false">'Lease Comparison'!E15</f>
        <v>1643000</v>
      </c>
      <c r="F16" s="44" t="n">
        <f aca="false">IF(ISBLANK(Cars!$E$14),"",IF($B16="ICE",Assumptions!$B$17*((Assumptions!$B$22/Assumptions!$B$24)/'Lease Comparison'!$F15+(Assumptions!$B$23/Assumptions!$B$24)/('Lease Comparison'!$F15*Assumptions!$B$25)),('Lease Comparison'!$F15/100)*((Assumptions!$B$22/Assumptions!$B$24)*Assumptions!$B$18+(Assumptions!$B$23/Assumptions!$B$24)*Assumptions!$B$26*Assumptions!$B$19)))</f>
        <v>1.794</v>
      </c>
      <c r="G16" s="15" t="n">
        <f aca="false">IF(OR(ISBLANK(Cars!$E$14),$B16&lt;&gt;"EV"),"—",IFERROR((('Lease Comparison'!G15*36+'Lease Comparison'!$E15*Assumptions!$B$6+'Lease Comparison'!I15-'Lease Comparison'!J15)-(INDEX('Lease Comparison'!$G$6:$G$31,$D$4-6+1)*36+INDEX('Lease Comparison'!$E$6:$E$31,$D$4-6+1)*Assumptions!$B$6+INDEX('Lease Comparison'!$I$6:$I$31,$D$4-6+1)-INDEX('Lease Comparison'!$J$6:$J$31,$D$4-6+1)))/(3*((INDEX($F$7:$F$32,$D$4-6+1))-F16)),"n/a"))</f>
        <v>11587.0316336552</v>
      </c>
      <c r="H16" s="15" t="n">
        <f aca="false">IF(OR(ISBLANK(Cars!$E$14),$B16&lt;&gt;"EV"),"—",IFERROR((('Lease Comparison'!N15*48+'Lease Comparison'!$E15*Assumptions!$B$6+'Lease Comparison'!P15-'Lease Comparison'!Q15)-(INDEX('Lease Comparison'!$N$6:$N$31,$D$4-6+1)*48+INDEX('Lease Comparison'!$E$6:$E$31,$D$4-6+1)*Assumptions!$B$6+INDEX('Lease Comparison'!$P$6:$P$31,$D$4-6+1)-INDEX('Lease Comparison'!$Q$6:$Q$31,$D$4-6+1)))/(4*((INDEX($F$7:$F$32,$D$4-6+1))-F16)),"n/a"))</f>
        <v>9320.51051266399</v>
      </c>
      <c r="I16" s="15" t="n">
        <f aca="false">IF(OR(ISBLANK(Cars!$E$14),$B16&lt;&gt;"EV"),"—",IFERROR((('Lease Comparison'!U15*60+'Lease Comparison'!$E15*Assumptions!$B$6+'Lease Comparison'!W15-'Lease Comparison'!X15)-(INDEX('Lease Comparison'!$U$6:$U$31,$D$4-6+1)*60+INDEX('Lease Comparison'!$E$6:$E$31,$D$4-6+1)*Assumptions!$B$6+INDEX('Lease Comparison'!$W$6:$W$31,$D$4-6+1)-INDEX('Lease Comparison'!$X$6:$X$31,$D$4-6+1)))/(5*((INDEX($F$7:$F$32,$D$4-6+1))-F16)),"n/a"))</f>
        <v>7920.96300411713</v>
      </c>
      <c r="J16" s="22" t="str">
        <f aca="false">IF(OR(ISBLANK(Cars!$E$14),$B16&lt;&gt;"EV"),"—",IF(G16="n/a","n/a",IF(G16&lt;=Assumptions!$B$24,"Already cheaper today","Needs "&amp;TEXT(G16-Assumptions!$B$24,"#,##0")&amp;" more km/yr (3yr basis)")))</f>
        <v>Already cheaper today</v>
      </c>
    </row>
    <row r="17" customFormat="false" ht="22.35" hidden="false" customHeight="false" outlineLevel="0" collapsed="false">
      <c r="A17" s="20" t="n">
        <v>11</v>
      </c>
      <c r="B17" s="37" t="str">
        <f aca="false">'Lease Comparison'!B16</f>
        <v>EV</v>
      </c>
      <c r="C17" s="38" t="str">
        <f aca="false">'Lease Comparison'!C16</f>
        <v>Tata Sierra EV</v>
      </c>
      <c r="D17" s="39" t="str">
        <f aca="false">'Lease Comparison'!D16</f>
        <v>Adventure, 63kWh (360° cam trim)</v>
      </c>
      <c r="E17" s="40" t="n">
        <f aca="false">'Lease Comparison'!E16</f>
        <v>2214000</v>
      </c>
      <c r="F17" s="44" t="n">
        <f aca="false">IF(ISBLANK(Cars!$E$15),"",IF($B17="ICE",Assumptions!$B$17*((Assumptions!$B$22/Assumptions!$B$24)/'Lease Comparison'!$F16+(Assumptions!$B$23/Assumptions!$B$24)/('Lease Comparison'!$F16*Assumptions!$B$25)),('Lease Comparison'!$F16/100)*((Assumptions!$B$22/Assumptions!$B$24)*Assumptions!$B$18+(Assumptions!$B$23/Assumptions!$B$24)*Assumptions!$B$26*Assumptions!$B$19)))</f>
        <v>2.002</v>
      </c>
      <c r="G17" s="15" t="n">
        <f aca="false">IF(OR(ISBLANK(Cars!$E$15),$B17&lt;&gt;"EV"),"—",IFERROR((('Lease Comparison'!G16*36+'Lease Comparison'!$E16*Assumptions!$B$6+'Lease Comparison'!I16-'Lease Comparison'!J16)-(INDEX('Lease Comparison'!$G$6:$G$31,$D$4-6+1)*36+INDEX('Lease Comparison'!$E$6:$E$31,$D$4-6+1)*Assumptions!$B$6+INDEX('Lease Comparison'!$I$6:$I$31,$D$4-6+1)-INDEX('Lease Comparison'!$J$6:$J$31,$D$4-6+1)))/(3*((INDEX($F$7:$F$32,$D$4-6+1))-F17)),"n/a"))</f>
        <v>32409.1962472163</v>
      </c>
      <c r="H17" s="15" t="n">
        <f aca="false">IF(OR(ISBLANK(Cars!$E$15),$B17&lt;&gt;"EV"),"—",IFERROR((('Lease Comparison'!N16*48+'Lease Comparison'!$E16*Assumptions!$B$6+'Lease Comparison'!P16-'Lease Comparison'!Q16)-(INDEX('Lease Comparison'!$N$6:$N$31,$D$4-6+1)*48+INDEX('Lease Comparison'!$E$6:$E$31,$D$4-6+1)*Assumptions!$B$6+INDEX('Lease Comparison'!$P$6:$P$31,$D$4-6+1)-INDEX('Lease Comparison'!$Q$6:$Q$31,$D$4-6+1)))/(4*((INDEX($F$7:$F$32,$D$4-6+1))-F17)),"n/a"))</f>
        <v>26016.3966081013</v>
      </c>
      <c r="I17" s="15" t="n">
        <f aca="false">IF(OR(ISBLANK(Cars!$E$15),$B17&lt;&gt;"EV"),"—",IFERROR((('Lease Comparison'!U16*60+'Lease Comparison'!$E16*Assumptions!$B$6+'Lease Comparison'!W16-'Lease Comparison'!X16)-(INDEX('Lease Comparison'!$U$6:$U$31,$D$4-6+1)*60+INDEX('Lease Comparison'!$E$6:$E$31,$D$4-6+1)*Assumptions!$B$6+INDEX('Lease Comparison'!$W$6:$W$31,$D$4-6+1)-INDEX('Lease Comparison'!$X$6:$X$31,$D$4-6+1)))/(5*((INDEX($F$7:$F$32,$D$4-6+1))-F17)),"n/a"))</f>
        <v>22107.4105893847</v>
      </c>
      <c r="J17" s="22" t="str">
        <f aca="false">IF(OR(ISBLANK(Cars!$E$15),$B17&lt;&gt;"EV"),"—",IF(G17="n/a","n/a",IF(G17&lt;=Assumptions!$B$24,"Already cheaper today","Needs "&amp;TEXT(G17-Assumptions!$B$24,"#,##0")&amp;" more km/yr (3yr basis)")))</f>
        <v>Needs 20,409 more km/yr (3yr basis)</v>
      </c>
    </row>
    <row r="18" customFormat="false" ht="22.35" hidden="false" customHeight="false" outlineLevel="0" collapsed="false">
      <c r="A18" s="20" t="n">
        <v>12</v>
      </c>
      <c r="B18" s="37" t="str">
        <f aca="false">'Lease Comparison'!B17</f>
        <v>EV</v>
      </c>
      <c r="C18" s="38" t="str">
        <f aca="false">'Lease Comparison'!C17</f>
        <v>Tata Nexon EV</v>
      </c>
      <c r="D18" s="39" t="str">
        <f aca="false">'Lease Comparison'!D17</f>
        <v>Empowered+ A, 45kWh LR (360° cam) — ADDED</v>
      </c>
      <c r="E18" s="40" t="n">
        <f aca="false">'Lease Comparison'!E17</f>
        <v>1946000</v>
      </c>
      <c r="F18" s="44" t="n">
        <f aca="false">IF(ISBLANK(Cars!$E$16),"",IF($B18="ICE",Assumptions!$B$17*((Assumptions!$B$22/Assumptions!$B$24)/'Lease Comparison'!$F17+(Assumptions!$B$23/Assumptions!$B$24)/('Lease Comparison'!$F17*Assumptions!$B$25)),('Lease Comparison'!$F17/100)*((Assumptions!$B$22/Assumptions!$B$24)*Assumptions!$B$18+(Assumptions!$B$23/Assumptions!$B$24)*Assumptions!$B$26*Assumptions!$B$19)))</f>
        <v>1.833</v>
      </c>
      <c r="G18" s="15" t="n">
        <f aca="false">IF(OR(ISBLANK(Cars!$E$16),$B18&lt;&gt;"EV"),"—",IFERROR((('Lease Comparison'!G17*36+'Lease Comparison'!$E17*Assumptions!$B$6+'Lease Comparison'!I17-'Lease Comparison'!J17)-(INDEX('Lease Comparison'!$G$6:$G$31,$D$4-6+1)*36+INDEX('Lease Comparison'!$E$6:$E$31,$D$4-6+1)*Assumptions!$B$6+INDEX('Lease Comparison'!$I$6:$I$31,$D$4-6+1)-INDEX('Lease Comparison'!$J$6:$J$31,$D$4-6+1)))/(3*((INDEX($F$7:$F$32,$D$4-6+1))-F18)),"n/a"))</f>
        <v>22332.0282193512</v>
      </c>
      <c r="H18" s="15" t="n">
        <f aca="false">IF(OR(ISBLANK(Cars!$E$16),$B18&lt;&gt;"EV"),"—",IFERROR((('Lease Comparison'!N17*48+'Lease Comparison'!$E17*Assumptions!$B$6+'Lease Comparison'!P17-'Lease Comparison'!Q17)-(INDEX('Lease Comparison'!$N$6:$N$31,$D$4-6+1)*48+INDEX('Lease Comparison'!$E$6:$E$31,$D$4-6+1)*Assumptions!$B$6+INDEX('Lease Comparison'!$P$6:$P$31,$D$4-6+1)-INDEX('Lease Comparison'!$Q$6:$Q$31,$D$4-6+1)))/(4*((INDEX($F$7:$F$32,$D$4-6+1))-F18)),"n/a"))</f>
        <v>17935.9578534888</v>
      </c>
      <c r="I18" s="15" t="n">
        <f aca="false">IF(OR(ISBLANK(Cars!$E$16),$B18&lt;&gt;"EV"),"—",IFERROR((('Lease Comparison'!U17*60+'Lease Comparison'!$E17*Assumptions!$B$6+'Lease Comparison'!W17-'Lease Comparison'!X17)-(INDEX('Lease Comparison'!$U$6:$U$31,$D$4-6+1)*60+INDEX('Lease Comparison'!$E$6:$E$31,$D$4-6+1)*Assumptions!$B$6+INDEX('Lease Comparison'!$W$6:$W$31,$D$4-6+1)-INDEX('Lease Comparison'!$X$6:$X$31,$D$4-6+1)))/(5*((INDEX($F$7:$F$32,$D$4-6+1))-F18)),"n/a"))</f>
        <v>15241.4735528493</v>
      </c>
      <c r="J18" s="22" t="str">
        <f aca="false">IF(OR(ISBLANK(Cars!$E$16),$B18&lt;&gt;"EV"),"—",IF(G18="n/a","n/a",IF(G18&lt;=Assumptions!$B$24,"Already cheaper today","Needs "&amp;TEXT(G18-Assumptions!$B$24,"#,##0")&amp;" more km/yr (3yr basis)")))</f>
        <v>Needs 10,332 more km/yr (3yr basis)</v>
      </c>
    </row>
    <row r="19" customFormat="false" ht="22.35" hidden="false" customHeight="false" outlineLevel="0" collapsed="false">
      <c r="A19" s="20" t="n">
        <v>13</v>
      </c>
      <c r="B19" s="37" t="str">
        <f aca="false">'Lease Comparison'!B18</f>
        <v>EV</v>
      </c>
      <c r="C19" s="38" t="str">
        <f aca="false">'Lease Comparison'!C18</f>
        <v>Maruti e Vitara</v>
      </c>
      <c r="D19" s="39" t="str">
        <f aca="false">'Lease Comparison'!D18</f>
        <v>Alpha, 61kWh (360° cam, ADAS) — ADDED</v>
      </c>
      <c r="E19" s="40" t="n">
        <f aca="false">'Lease Comparison'!E18</f>
        <v>2137000</v>
      </c>
      <c r="F19" s="44" t="n">
        <f aca="false">IF(ISBLANK(Cars!$E$17),"",IF($B19="ICE",Assumptions!$B$17*((Assumptions!$B$22/Assumptions!$B$24)/'Lease Comparison'!$F18+(Assumptions!$B$23/Assumptions!$B$24)/('Lease Comparison'!$F18*Assumptions!$B$25)),('Lease Comparison'!$F18/100)*((Assumptions!$B$22/Assumptions!$B$24)*Assumptions!$B$18+(Assumptions!$B$23/Assumptions!$B$24)*Assumptions!$B$26*Assumptions!$B$19)))</f>
        <v>1.989</v>
      </c>
      <c r="G19" s="15" t="n">
        <f aca="false">IF(OR(ISBLANK(Cars!$E$17),$B19&lt;&gt;"EV"),"—",IFERROR((('Lease Comparison'!G18*36+'Lease Comparison'!$E18*Assumptions!$B$6+'Lease Comparison'!I18-'Lease Comparison'!J18)-(INDEX('Lease Comparison'!$G$6:$G$31,$D$4-6+1)*36+INDEX('Lease Comparison'!$E$6:$E$31,$D$4-6+1)*Assumptions!$B$6+INDEX('Lease Comparison'!$I$6:$I$31,$D$4-6+1)-INDEX('Lease Comparison'!$J$6:$J$31,$D$4-6+1)))/(3*((INDEX($F$7:$F$32,$D$4-6+1))-F19)),"n/a"))</f>
        <v>29594.4286305876</v>
      </c>
      <c r="H19" s="15" t="n">
        <f aca="false">IF(OR(ISBLANK(Cars!$E$17),$B19&lt;&gt;"EV"),"—",IFERROR((('Lease Comparison'!N18*48+'Lease Comparison'!$E18*Assumptions!$B$6+'Lease Comparison'!P18-'Lease Comparison'!Q18)-(INDEX('Lease Comparison'!$N$6:$N$31,$D$4-6+1)*48+INDEX('Lease Comparison'!$E$6:$E$31,$D$4-6+1)*Assumptions!$B$6+INDEX('Lease Comparison'!$P$6:$P$31,$D$4-6+1)-INDEX('Lease Comparison'!$Q$6:$Q$31,$D$4-6+1)))/(4*((INDEX($F$7:$F$32,$D$4-6+1))-F19)),"n/a"))</f>
        <v>23759.4760461726</v>
      </c>
      <c r="I19" s="15" t="n">
        <f aca="false">IF(OR(ISBLANK(Cars!$E$17),$B19&lt;&gt;"EV"),"—",IFERROR((('Lease Comparison'!U18*60+'Lease Comparison'!$E18*Assumptions!$B$6+'Lease Comparison'!W18-'Lease Comparison'!X18)-(INDEX('Lease Comparison'!$U$6:$U$31,$D$4-6+1)*60+INDEX('Lease Comparison'!$E$6:$E$31,$D$4-6+1)*Assumptions!$B$6+INDEX('Lease Comparison'!$W$6:$W$31,$D$4-6+1)-INDEX('Lease Comparison'!$X$6:$X$31,$D$4-6+1)))/(5*((INDEX($F$7:$F$32,$D$4-6+1))-F19)),"n/a"))</f>
        <v>20189.7138558999</v>
      </c>
      <c r="J19" s="22" t="str">
        <f aca="false">IF(OR(ISBLANK(Cars!$E$17),$B19&lt;&gt;"EV"),"—",IF(G19="n/a","n/a",IF(G19&lt;=Assumptions!$B$24,"Already cheaper today","Needs "&amp;TEXT(G19-Assumptions!$B$24,"#,##0")&amp;" more km/yr (3yr basis)")))</f>
        <v>Needs 17,594 more km/yr (3yr basis)</v>
      </c>
    </row>
    <row r="20" customFormat="false" ht="22.35" hidden="false" customHeight="false" outlineLevel="0" collapsed="false">
      <c r="A20" s="20" t="n">
        <v>14</v>
      </c>
      <c r="B20" s="37" t="str">
        <f aca="false">'Lease Comparison'!B19</f>
        <v>EV</v>
      </c>
      <c r="C20" s="38" t="str">
        <f aca="false">'Lease Comparison'!C19</f>
        <v>Kia Syros EV</v>
      </c>
      <c r="D20" s="39" t="str">
        <f aca="false">'Lease Comparison'!D19</f>
        <v>HTX+ ER, 51.4kWh (360° cam) — ADDED</v>
      </c>
      <c r="E20" s="40" t="n">
        <f aca="false">'Lease Comparison'!E19</f>
        <v>1950000</v>
      </c>
      <c r="F20" s="44" t="n">
        <f aca="false">IF(ISBLANK(Cars!$E$18),"",IF($B20="ICE",Assumptions!$B$17*((Assumptions!$B$22/Assumptions!$B$24)/'Lease Comparison'!$F19+(Assumptions!$B$23/Assumptions!$B$24)/('Lease Comparison'!$F19*Assumptions!$B$25)),('Lease Comparison'!$F19/100)*((Assumptions!$B$22/Assumptions!$B$24)*Assumptions!$B$18+(Assumptions!$B$23/Assumptions!$B$24)*Assumptions!$B$26*Assumptions!$B$19)))</f>
        <v>1.755</v>
      </c>
      <c r="G20" s="15" t="n">
        <f aca="false">IF(OR(ISBLANK(Cars!$E$18),$B20&lt;&gt;"EV"),"—",IFERROR((('Lease Comparison'!G19*36+'Lease Comparison'!$E19*Assumptions!$B$6+'Lease Comparison'!I19-'Lease Comparison'!J19)-(INDEX('Lease Comparison'!$G$6:$G$31,$D$4-6+1)*36+INDEX('Lease Comparison'!$E$6:$E$31,$D$4-6+1)*Assumptions!$B$6+INDEX('Lease Comparison'!$I$6:$I$31,$D$4-6+1)-INDEX('Lease Comparison'!$J$6:$J$31,$D$4-6+1)))/(3*((INDEX($F$7:$F$32,$D$4-6+1))-F20)),"n/a"))</f>
        <v>22276.9936825453</v>
      </c>
      <c r="H20" s="15" t="n">
        <f aca="false">IF(OR(ISBLANK(Cars!$E$18),$B20&lt;&gt;"EV"),"—",IFERROR((('Lease Comparison'!N19*48+'Lease Comparison'!$E19*Assumptions!$B$6+'Lease Comparison'!P19-'Lease Comparison'!Q19)-(INDEX('Lease Comparison'!$N$6:$N$31,$D$4-6+1)*48+INDEX('Lease Comparison'!$E$6:$E$31,$D$4-6+1)*Assumptions!$B$6+INDEX('Lease Comparison'!$P$6:$P$31,$D$4-6+1)-INDEX('Lease Comparison'!$Q$6:$Q$31,$D$4-6+1)))/(4*((INDEX($F$7:$F$32,$D$4-6+1))-F20)),"n/a"))</f>
        <v>17891.5677331627</v>
      </c>
      <c r="I20" s="15" t="n">
        <f aca="false">IF(OR(ISBLANK(Cars!$E$18),$B20&lt;&gt;"EV"),"—",IFERROR((('Lease Comparison'!U19*60+'Lease Comparison'!$E19*Assumptions!$B$6+'Lease Comparison'!W19-'Lease Comparison'!X19)-(INDEX('Lease Comparison'!$U$6:$U$31,$D$4-6+1)*60+INDEX('Lease Comparison'!$E$6:$E$31,$D$4-6+1)*Assumptions!$B$6+INDEX('Lease Comparison'!$W$6:$W$31,$D$4-6+1)-INDEX('Lease Comparison'!$X$6:$X$31,$D$4-6+1)))/(5*((INDEX($F$7:$F$32,$D$4-6+1))-F20)),"n/a"))</f>
        <v>15203.7434683112</v>
      </c>
      <c r="J20" s="22" t="str">
        <f aca="false">IF(OR(ISBLANK(Cars!$E$18),$B20&lt;&gt;"EV"),"—",IF(G20="n/a","n/a",IF(G20&lt;=Assumptions!$B$24,"Already cheaper today","Needs "&amp;TEXT(G20-Assumptions!$B$24,"#,##0")&amp;" more km/yr (3yr basis)")))</f>
        <v>Needs 10,277 more km/yr (3yr basis)</v>
      </c>
    </row>
    <row r="21" customFormat="false" ht="15" hidden="false" customHeight="false" outlineLevel="0" collapsed="false">
      <c r="A21" s="20" t="n">
        <v>15</v>
      </c>
      <c r="B21" s="37" t="n">
        <f aca="false">'Lease Comparison'!B20</f>
        <v>0</v>
      </c>
      <c r="C21" s="38" t="n">
        <f aca="false">'Lease Comparison'!C20</f>
        <v>0</v>
      </c>
      <c r="D21" s="39" t="n">
        <f aca="false">'Lease Comparison'!D20</f>
        <v>0</v>
      </c>
      <c r="E21" s="40" t="n">
        <f aca="false">'Lease Comparison'!E20</f>
        <v>0</v>
      </c>
      <c r="F21" s="44" t="str">
        <f aca="false">IF(ISBLANK(Cars!$E$19),"",IF($B21="ICE",Assumptions!$B$17*((Assumptions!$B$22/Assumptions!$B$24)/'Lease Comparison'!$F20+(Assumptions!$B$23/Assumptions!$B$24)/('Lease Comparison'!$F20*Assumptions!$B$25)),('Lease Comparison'!$F20/100)*((Assumptions!$B$22/Assumptions!$B$24)*Assumptions!$B$18+(Assumptions!$B$23/Assumptions!$B$24)*Assumptions!$B$26*Assumptions!$B$19)))</f>
        <v/>
      </c>
      <c r="G21" s="15" t="str">
        <f aca="false">IF(OR(ISBLANK(Cars!$E$19),$B21&lt;&gt;"EV"),"—",IFERROR((('Lease Comparison'!G20*36+'Lease Comparison'!$E20*Assumptions!$B$6+'Lease Comparison'!I20-'Lease Comparison'!J20)-(INDEX('Lease Comparison'!$G$6:$G$31,$D$4-6+1)*36+INDEX('Lease Comparison'!$E$6:$E$31,$D$4-6+1)*Assumptions!$B$6+INDEX('Lease Comparison'!$I$6:$I$31,$D$4-6+1)-INDEX('Lease Comparison'!$J$6:$J$31,$D$4-6+1)))/(3*((INDEX($F$7:$F$32,$D$4-6+1))-F21)),"n/a"))</f>
        <v>—</v>
      </c>
      <c r="H21" s="15" t="str">
        <f aca="false">IF(OR(ISBLANK(Cars!$E$19),$B21&lt;&gt;"EV"),"—",IFERROR((('Lease Comparison'!N20*48+'Lease Comparison'!$E20*Assumptions!$B$6+'Lease Comparison'!P20-'Lease Comparison'!Q20)-(INDEX('Lease Comparison'!$N$6:$N$31,$D$4-6+1)*48+INDEX('Lease Comparison'!$E$6:$E$31,$D$4-6+1)*Assumptions!$B$6+INDEX('Lease Comparison'!$P$6:$P$31,$D$4-6+1)-INDEX('Lease Comparison'!$Q$6:$Q$31,$D$4-6+1)))/(4*((INDEX($F$7:$F$32,$D$4-6+1))-F21)),"n/a"))</f>
        <v>—</v>
      </c>
      <c r="I21" s="15" t="str">
        <f aca="false">IF(OR(ISBLANK(Cars!$E$19),$B21&lt;&gt;"EV"),"—",IFERROR((('Lease Comparison'!U20*60+'Lease Comparison'!$E20*Assumptions!$B$6+'Lease Comparison'!W20-'Lease Comparison'!X20)-(INDEX('Lease Comparison'!$U$6:$U$31,$D$4-6+1)*60+INDEX('Lease Comparison'!$E$6:$E$31,$D$4-6+1)*Assumptions!$B$6+INDEX('Lease Comparison'!$W$6:$W$31,$D$4-6+1)-INDEX('Lease Comparison'!$X$6:$X$31,$D$4-6+1)))/(5*((INDEX($F$7:$F$32,$D$4-6+1))-F21)),"n/a"))</f>
        <v>—</v>
      </c>
      <c r="J21" s="22" t="str">
        <f aca="false">IF(OR(ISBLANK(Cars!$E$19),$B21&lt;&gt;"EV"),"—",IF(G21="n/a","n/a",IF(G21&lt;=Assumptions!$B$24,"Already cheaper today","Needs "&amp;TEXT(G21-Assumptions!$B$24,"#,##0")&amp;" more km/yr (3yr basis)")))</f>
        <v>—</v>
      </c>
    </row>
    <row r="22" customFormat="false" ht="15" hidden="false" customHeight="false" outlineLevel="0" collapsed="false">
      <c r="A22" s="20" t="n">
        <v>16</v>
      </c>
      <c r="B22" s="37" t="n">
        <f aca="false">'Lease Comparison'!B21</f>
        <v>0</v>
      </c>
      <c r="C22" s="38" t="n">
        <f aca="false">'Lease Comparison'!C21</f>
        <v>0</v>
      </c>
      <c r="D22" s="39" t="n">
        <f aca="false">'Lease Comparison'!D21</f>
        <v>0</v>
      </c>
      <c r="E22" s="40" t="n">
        <f aca="false">'Lease Comparison'!E21</f>
        <v>0</v>
      </c>
      <c r="F22" s="44" t="str">
        <f aca="false">IF(ISBLANK(Cars!$E$20),"",IF($B22="ICE",Assumptions!$B$17*((Assumptions!$B$22/Assumptions!$B$24)/'Lease Comparison'!$F21+(Assumptions!$B$23/Assumptions!$B$24)/('Lease Comparison'!$F21*Assumptions!$B$25)),('Lease Comparison'!$F21/100)*((Assumptions!$B$22/Assumptions!$B$24)*Assumptions!$B$18+(Assumptions!$B$23/Assumptions!$B$24)*Assumptions!$B$26*Assumptions!$B$19)))</f>
        <v/>
      </c>
      <c r="G22" s="15" t="str">
        <f aca="false">IF(OR(ISBLANK(Cars!$E$20),$B22&lt;&gt;"EV"),"—",IFERROR((('Lease Comparison'!G21*36+'Lease Comparison'!$E21*Assumptions!$B$6+'Lease Comparison'!I21-'Lease Comparison'!J21)-(INDEX('Lease Comparison'!$G$6:$G$31,$D$4-6+1)*36+INDEX('Lease Comparison'!$E$6:$E$31,$D$4-6+1)*Assumptions!$B$6+INDEX('Lease Comparison'!$I$6:$I$31,$D$4-6+1)-INDEX('Lease Comparison'!$J$6:$J$31,$D$4-6+1)))/(3*((INDEX($F$7:$F$32,$D$4-6+1))-F22)),"n/a"))</f>
        <v>—</v>
      </c>
      <c r="H22" s="15" t="str">
        <f aca="false">IF(OR(ISBLANK(Cars!$E$20),$B22&lt;&gt;"EV"),"—",IFERROR((('Lease Comparison'!N21*48+'Lease Comparison'!$E21*Assumptions!$B$6+'Lease Comparison'!P21-'Lease Comparison'!Q21)-(INDEX('Lease Comparison'!$N$6:$N$31,$D$4-6+1)*48+INDEX('Lease Comparison'!$E$6:$E$31,$D$4-6+1)*Assumptions!$B$6+INDEX('Lease Comparison'!$P$6:$P$31,$D$4-6+1)-INDEX('Lease Comparison'!$Q$6:$Q$31,$D$4-6+1)))/(4*((INDEX($F$7:$F$32,$D$4-6+1))-F22)),"n/a"))</f>
        <v>—</v>
      </c>
      <c r="I22" s="15" t="str">
        <f aca="false">IF(OR(ISBLANK(Cars!$E$20),$B22&lt;&gt;"EV"),"—",IFERROR((('Lease Comparison'!U21*60+'Lease Comparison'!$E21*Assumptions!$B$6+'Lease Comparison'!W21-'Lease Comparison'!X21)-(INDEX('Lease Comparison'!$U$6:$U$31,$D$4-6+1)*60+INDEX('Lease Comparison'!$E$6:$E$31,$D$4-6+1)*Assumptions!$B$6+INDEX('Lease Comparison'!$W$6:$W$31,$D$4-6+1)-INDEX('Lease Comparison'!$X$6:$X$31,$D$4-6+1)))/(5*((INDEX($F$7:$F$32,$D$4-6+1))-F22)),"n/a"))</f>
        <v>—</v>
      </c>
      <c r="J22" s="22" t="str">
        <f aca="false">IF(OR(ISBLANK(Cars!$E$20),$B22&lt;&gt;"EV"),"—",IF(G22="n/a","n/a",IF(G22&lt;=Assumptions!$B$24,"Already cheaper today","Needs "&amp;TEXT(G22-Assumptions!$B$24,"#,##0")&amp;" more km/yr (3yr basis)")))</f>
        <v>—</v>
      </c>
    </row>
    <row r="23" customFormat="false" ht="15" hidden="false" customHeight="false" outlineLevel="0" collapsed="false">
      <c r="A23" s="20" t="n">
        <v>17</v>
      </c>
      <c r="B23" s="37" t="n">
        <f aca="false">'Lease Comparison'!B22</f>
        <v>0</v>
      </c>
      <c r="C23" s="38" t="n">
        <f aca="false">'Lease Comparison'!C22</f>
        <v>0</v>
      </c>
      <c r="D23" s="39" t="n">
        <f aca="false">'Lease Comparison'!D22</f>
        <v>0</v>
      </c>
      <c r="E23" s="40" t="n">
        <f aca="false">'Lease Comparison'!E22</f>
        <v>0</v>
      </c>
      <c r="F23" s="44" t="str">
        <f aca="false">IF(ISBLANK(Cars!$E$21),"",IF($B23="ICE",Assumptions!$B$17*((Assumptions!$B$22/Assumptions!$B$24)/'Lease Comparison'!$F22+(Assumptions!$B$23/Assumptions!$B$24)/('Lease Comparison'!$F22*Assumptions!$B$25)),('Lease Comparison'!$F22/100)*((Assumptions!$B$22/Assumptions!$B$24)*Assumptions!$B$18+(Assumptions!$B$23/Assumptions!$B$24)*Assumptions!$B$26*Assumptions!$B$19)))</f>
        <v/>
      </c>
      <c r="G23" s="15" t="str">
        <f aca="false">IF(OR(ISBLANK(Cars!$E$21),$B23&lt;&gt;"EV"),"—",IFERROR((('Lease Comparison'!G22*36+'Lease Comparison'!$E22*Assumptions!$B$6+'Lease Comparison'!I22-'Lease Comparison'!J22)-(INDEX('Lease Comparison'!$G$6:$G$31,$D$4-6+1)*36+INDEX('Lease Comparison'!$E$6:$E$31,$D$4-6+1)*Assumptions!$B$6+INDEX('Lease Comparison'!$I$6:$I$31,$D$4-6+1)-INDEX('Lease Comparison'!$J$6:$J$31,$D$4-6+1)))/(3*((INDEX($F$7:$F$32,$D$4-6+1))-F23)),"n/a"))</f>
        <v>—</v>
      </c>
      <c r="H23" s="15" t="str">
        <f aca="false">IF(OR(ISBLANK(Cars!$E$21),$B23&lt;&gt;"EV"),"—",IFERROR((('Lease Comparison'!N22*48+'Lease Comparison'!$E22*Assumptions!$B$6+'Lease Comparison'!P22-'Lease Comparison'!Q22)-(INDEX('Lease Comparison'!$N$6:$N$31,$D$4-6+1)*48+INDEX('Lease Comparison'!$E$6:$E$31,$D$4-6+1)*Assumptions!$B$6+INDEX('Lease Comparison'!$P$6:$P$31,$D$4-6+1)-INDEX('Lease Comparison'!$Q$6:$Q$31,$D$4-6+1)))/(4*((INDEX($F$7:$F$32,$D$4-6+1))-F23)),"n/a"))</f>
        <v>—</v>
      </c>
      <c r="I23" s="15" t="str">
        <f aca="false">IF(OR(ISBLANK(Cars!$E$21),$B23&lt;&gt;"EV"),"—",IFERROR((('Lease Comparison'!U22*60+'Lease Comparison'!$E22*Assumptions!$B$6+'Lease Comparison'!W22-'Lease Comparison'!X22)-(INDEX('Lease Comparison'!$U$6:$U$31,$D$4-6+1)*60+INDEX('Lease Comparison'!$E$6:$E$31,$D$4-6+1)*Assumptions!$B$6+INDEX('Lease Comparison'!$W$6:$W$31,$D$4-6+1)-INDEX('Lease Comparison'!$X$6:$X$31,$D$4-6+1)))/(5*((INDEX($F$7:$F$32,$D$4-6+1))-F23)),"n/a"))</f>
        <v>—</v>
      </c>
      <c r="J23" s="22" t="str">
        <f aca="false">IF(OR(ISBLANK(Cars!$E$21),$B23&lt;&gt;"EV"),"—",IF(G23="n/a","n/a",IF(G23&lt;=Assumptions!$B$24,"Already cheaper today","Needs "&amp;TEXT(G23-Assumptions!$B$24,"#,##0")&amp;" more km/yr (3yr basis)")))</f>
        <v>—</v>
      </c>
    </row>
    <row r="24" customFormat="false" ht="15" hidden="false" customHeight="false" outlineLevel="0" collapsed="false">
      <c r="A24" s="20" t="n">
        <v>18</v>
      </c>
      <c r="B24" s="37" t="n">
        <f aca="false">'Lease Comparison'!B23</f>
        <v>0</v>
      </c>
      <c r="C24" s="38" t="n">
        <f aca="false">'Lease Comparison'!C23</f>
        <v>0</v>
      </c>
      <c r="D24" s="39" t="n">
        <f aca="false">'Lease Comparison'!D23</f>
        <v>0</v>
      </c>
      <c r="E24" s="40" t="n">
        <f aca="false">'Lease Comparison'!E23</f>
        <v>0</v>
      </c>
      <c r="F24" s="44" t="str">
        <f aca="false">IF(ISBLANK(Cars!$E$22),"",IF($B24="ICE",Assumptions!$B$17*((Assumptions!$B$22/Assumptions!$B$24)/'Lease Comparison'!$F23+(Assumptions!$B$23/Assumptions!$B$24)/('Lease Comparison'!$F23*Assumptions!$B$25)),('Lease Comparison'!$F23/100)*((Assumptions!$B$22/Assumptions!$B$24)*Assumptions!$B$18+(Assumptions!$B$23/Assumptions!$B$24)*Assumptions!$B$26*Assumptions!$B$19)))</f>
        <v/>
      </c>
      <c r="G24" s="15" t="str">
        <f aca="false">IF(OR(ISBLANK(Cars!$E$22),$B24&lt;&gt;"EV"),"—",IFERROR((('Lease Comparison'!G23*36+'Lease Comparison'!$E23*Assumptions!$B$6+'Lease Comparison'!I23-'Lease Comparison'!J23)-(INDEX('Lease Comparison'!$G$6:$G$31,$D$4-6+1)*36+INDEX('Lease Comparison'!$E$6:$E$31,$D$4-6+1)*Assumptions!$B$6+INDEX('Lease Comparison'!$I$6:$I$31,$D$4-6+1)-INDEX('Lease Comparison'!$J$6:$J$31,$D$4-6+1)))/(3*((INDEX($F$7:$F$32,$D$4-6+1))-F24)),"n/a"))</f>
        <v>—</v>
      </c>
      <c r="H24" s="15" t="str">
        <f aca="false">IF(OR(ISBLANK(Cars!$E$22),$B24&lt;&gt;"EV"),"—",IFERROR((('Lease Comparison'!N23*48+'Lease Comparison'!$E23*Assumptions!$B$6+'Lease Comparison'!P23-'Lease Comparison'!Q23)-(INDEX('Lease Comparison'!$N$6:$N$31,$D$4-6+1)*48+INDEX('Lease Comparison'!$E$6:$E$31,$D$4-6+1)*Assumptions!$B$6+INDEX('Lease Comparison'!$P$6:$P$31,$D$4-6+1)-INDEX('Lease Comparison'!$Q$6:$Q$31,$D$4-6+1)))/(4*((INDEX($F$7:$F$32,$D$4-6+1))-F24)),"n/a"))</f>
        <v>—</v>
      </c>
      <c r="I24" s="15" t="str">
        <f aca="false">IF(OR(ISBLANK(Cars!$E$22),$B24&lt;&gt;"EV"),"—",IFERROR((('Lease Comparison'!U23*60+'Lease Comparison'!$E23*Assumptions!$B$6+'Lease Comparison'!W23-'Lease Comparison'!X23)-(INDEX('Lease Comparison'!$U$6:$U$31,$D$4-6+1)*60+INDEX('Lease Comparison'!$E$6:$E$31,$D$4-6+1)*Assumptions!$B$6+INDEX('Lease Comparison'!$W$6:$W$31,$D$4-6+1)-INDEX('Lease Comparison'!$X$6:$X$31,$D$4-6+1)))/(5*((INDEX($F$7:$F$32,$D$4-6+1))-F24)),"n/a"))</f>
        <v>—</v>
      </c>
      <c r="J24" s="22" t="str">
        <f aca="false">IF(OR(ISBLANK(Cars!$E$22),$B24&lt;&gt;"EV"),"—",IF(G24="n/a","n/a",IF(G24&lt;=Assumptions!$B$24,"Already cheaper today","Needs "&amp;TEXT(G24-Assumptions!$B$24,"#,##0")&amp;" more km/yr (3yr basis)")))</f>
        <v>—</v>
      </c>
    </row>
    <row r="25" customFormat="false" ht="15" hidden="false" customHeight="false" outlineLevel="0" collapsed="false">
      <c r="A25" s="20" t="n">
        <v>19</v>
      </c>
      <c r="B25" s="37" t="n">
        <f aca="false">'Lease Comparison'!B24</f>
        <v>0</v>
      </c>
      <c r="C25" s="38" t="n">
        <f aca="false">'Lease Comparison'!C24</f>
        <v>0</v>
      </c>
      <c r="D25" s="39" t="n">
        <f aca="false">'Lease Comparison'!D24</f>
        <v>0</v>
      </c>
      <c r="E25" s="40" t="n">
        <f aca="false">'Lease Comparison'!E24</f>
        <v>0</v>
      </c>
      <c r="F25" s="44" t="str">
        <f aca="false">IF(ISBLANK(Cars!$E$23),"",IF($B25="ICE",Assumptions!$B$17*((Assumptions!$B$22/Assumptions!$B$24)/'Lease Comparison'!$F24+(Assumptions!$B$23/Assumptions!$B$24)/('Lease Comparison'!$F24*Assumptions!$B$25)),('Lease Comparison'!$F24/100)*((Assumptions!$B$22/Assumptions!$B$24)*Assumptions!$B$18+(Assumptions!$B$23/Assumptions!$B$24)*Assumptions!$B$26*Assumptions!$B$19)))</f>
        <v/>
      </c>
      <c r="G25" s="15" t="str">
        <f aca="false">IF(OR(ISBLANK(Cars!$E$23),$B25&lt;&gt;"EV"),"—",IFERROR((('Lease Comparison'!G24*36+'Lease Comparison'!$E24*Assumptions!$B$6+'Lease Comparison'!I24-'Lease Comparison'!J24)-(INDEX('Lease Comparison'!$G$6:$G$31,$D$4-6+1)*36+INDEX('Lease Comparison'!$E$6:$E$31,$D$4-6+1)*Assumptions!$B$6+INDEX('Lease Comparison'!$I$6:$I$31,$D$4-6+1)-INDEX('Lease Comparison'!$J$6:$J$31,$D$4-6+1)))/(3*((INDEX($F$7:$F$32,$D$4-6+1))-F25)),"n/a"))</f>
        <v>—</v>
      </c>
      <c r="H25" s="15" t="str">
        <f aca="false">IF(OR(ISBLANK(Cars!$E$23),$B25&lt;&gt;"EV"),"—",IFERROR((('Lease Comparison'!N24*48+'Lease Comparison'!$E24*Assumptions!$B$6+'Lease Comparison'!P24-'Lease Comparison'!Q24)-(INDEX('Lease Comparison'!$N$6:$N$31,$D$4-6+1)*48+INDEX('Lease Comparison'!$E$6:$E$31,$D$4-6+1)*Assumptions!$B$6+INDEX('Lease Comparison'!$P$6:$P$31,$D$4-6+1)-INDEX('Lease Comparison'!$Q$6:$Q$31,$D$4-6+1)))/(4*((INDEX($F$7:$F$32,$D$4-6+1))-F25)),"n/a"))</f>
        <v>—</v>
      </c>
      <c r="I25" s="15" t="str">
        <f aca="false">IF(OR(ISBLANK(Cars!$E$23),$B25&lt;&gt;"EV"),"—",IFERROR((('Lease Comparison'!U24*60+'Lease Comparison'!$E24*Assumptions!$B$6+'Lease Comparison'!W24-'Lease Comparison'!X24)-(INDEX('Lease Comparison'!$U$6:$U$31,$D$4-6+1)*60+INDEX('Lease Comparison'!$E$6:$E$31,$D$4-6+1)*Assumptions!$B$6+INDEX('Lease Comparison'!$W$6:$W$31,$D$4-6+1)-INDEX('Lease Comparison'!$X$6:$X$31,$D$4-6+1)))/(5*((INDEX($F$7:$F$32,$D$4-6+1))-F25)),"n/a"))</f>
        <v>—</v>
      </c>
      <c r="J25" s="22" t="str">
        <f aca="false">IF(OR(ISBLANK(Cars!$E$23),$B25&lt;&gt;"EV"),"—",IF(G25="n/a","n/a",IF(G25&lt;=Assumptions!$B$24,"Already cheaper today","Needs "&amp;TEXT(G25-Assumptions!$B$24,"#,##0")&amp;" more km/yr (3yr basis)")))</f>
        <v>—</v>
      </c>
    </row>
    <row r="26" customFormat="false" ht="15" hidden="false" customHeight="false" outlineLevel="0" collapsed="false">
      <c r="A26" s="20" t="n">
        <v>20</v>
      </c>
      <c r="B26" s="37" t="n">
        <f aca="false">'Lease Comparison'!B25</f>
        <v>0</v>
      </c>
      <c r="C26" s="38" t="n">
        <f aca="false">'Lease Comparison'!C25</f>
        <v>0</v>
      </c>
      <c r="D26" s="39" t="n">
        <f aca="false">'Lease Comparison'!D25</f>
        <v>0</v>
      </c>
      <c r="E26" s="40" t="n">
        <f aca="false">'Lease Comparison'!E25</f>
        <v>0</v>
      </c>
      <c r="F26" s="44" t="str">
        <f aca="false">IF(ISBLANK(Cars!$E$24),"",IF($B26="ICE",Assumptions!$B$17*((Assumptions!$B$22/Assumptions!$B$24)/'Lease Comparison'!$F25+(Assumptions!$B$23/Assumptions!$B$24)/('Lease Comparison'!$F25*Assumptions!$B$25)),('Lease Comparison'!$F25/100)*((Assumptions!$B$22/Assumptions!$B$24)*Assumptions!$B$18+(Assumptions!$B$23/Assumptions!$B$24)*Assumptions!$B$26*Assumptions!$B$19)))</f>
        <v/>
      </c>
      <c r="G26" s="15" t="str">
        <f aca="false">IF(OR(ISBLANK(Cars!$E$24),$B26&lt;&gt;"EV"),"—",IFERROR((('Lease Comparison'!G25*36+'Lease Comparison'!$E25*Assumptions!$B$6+'Lease Comparison'!I25-'Lease Comparison'!J25)-(INDEX('Lease Comparison'!$G$6:$G$31,$D$4-6+1)*36+INDEX('Lease Comparison'!$E$6:$E$31,$D$4-6+1)*Assumptions!$B$6+INDEX('Lease Comparison'!$I$6:$I$31,$D$4-6+1)-INDEX('Lease Comparison'!$J$6:$J$31,$D$4-6+1)))/(3*((INDEX($F$7:$F$32,$D$4-6+1))-F26)),"n/a"))</f>
        <v>—</v>
      </c>
      <c r="H26" s="15" t="str">
        <f aca="false">IF(OR(ISBLANK(Cars!$E$24),$B26&lt;&gt;"EV"),"—",IFERROR((('Lease Comparison'!N25*48+'Lease Comparison'!$E25*Assumptions!$B$6+'Lease Comparison'!P25-'Lease Comparison'!Q25)-(INDEX('Lease Comparison'!$N$6:$N$31,$D$4-6+1)*48+INDEX('Lease Comparison'!$E$6:$E$31,$D$4-6+1)*Assumptions!$B$6+INDEX('Lease Comparison'!$P$6:$P$31,$D$4-6+1)-INDEX('Lease Comparison'!$Q$6:$Q$31,$D$4-6+1)))/(4*((INDEX($F$7:$F$32,$D$4-6+1))-F26)),"n/a"))</f>
        <v>—</v>
      </c>
      <c r="I26" s="15" t="str">
        <f aca="false">IF(OR(ISBLANK(Cars!$E$24),$B26&lt;&gt;"EV"),"—",IFERROR((('Lease Comparison'!U25*60+'Lease Comparison'!$E25*Assumptions!$B$6+'Lease Comparison'!W25-'Lease Comparison'!X25)-(INDEX('Lease Comparison'!$U$6:$U$31,$D$4-6+1)*60+INDEX('Lease Comparison'!$E$6:$E$31,$D$4-6+1)*Assumptions!$B$6+INDEX('Lease Comparison'!$W$6:$W$31,$D$4-6+1)-INDEX('Lease Comparison'!$X$6:$X$31,$D$4-6+1)))/(5*((INDEX($F$7:$F$32,$D$4-6+1))-F26)),"n/a"))</f>
        <v>—</v>
      </c>
      <c r="J26" s="22" t="str">
        <f aca="false">IF(OR(ISBLANK(Cars!$E$24),$B26&lt;&gt;"EV"),"—",IF(G26="n/a","n/a",IF(G26&lt;=Assumptions!$B$24,"Already cheaper today","Needs "&amp;TEXT(G26-Assumptions!$B$24,"#,##0")&amp;" more km/yr (3yr basis)")))</f>
        <v>—</v>
      </c>
    </row>
    <row r="27" customFormat="false" ht="15" hidden="false" customHeight="false" outlineLevel="0" collapsed="false">
      <c r="A27" s="20" t="n">
        <v>21</v>
      </c>
      <c r="B27" s="37" t="n">
        <f aca="false">'Lease Comparison'!B26</f>
        <v>0</v>
      </c>
      <c r="C27" s="38" t="n">
        <f aca="false">'Lease Comparison'!C26</f>
        <v>0</v>
      </c>
      <c r="D27" s="39" t="n">
        <f aca="false">'Lease Comparison'!D26</f>
        <v>0</v>
      </c>
      <c r="E27" s="40" t="n">
        <f aca="false">'Lease Comparison'!E26</f>
        <v>0</v>
      </c>
      <c r="F27" s="44" t="str">
        <f aca="false">IF(ISBLANK(Cars!$E$25),"",IF($B27="ICE",Assumptions!$B$17*((Assumptions!$B$22/Assumptions!$B$24)/'Lease Comparison'!$F26+(Assumptions!$B$23/Assumptions!$B$24)/('Lease Comparison'!$F26*Assumptions!$B$25)),('Lease Comparison'!$F26/100)*((Assumptions!$B$22/Assumptions!$B$24)*Assumptions!$B$18+(Assumptions!$B$23/Assumptions!$B$24)*Assumptions!$B$26*Assumptions!$B$19)))</f>
        <v/>
      </c>
      <c r="G27" s="15" t="str">
        <f aca="false">IF(OR(ISBLANK(Cars!$E$25),$B27&lt;&gt;"EV"),"—",IFERROR((('Lease Comparison'!G26*36+'Lease Comparison'!$E26*Assumptions!$B$6+'Lease Comparison'!I26-'Lease Comparison'!J26)-(INDEX('Lease Comparison'!$G$6:$G$31,$D$4-6+1)*36+INDEX('Lease Comparison'!$E$6:$E$31,$D$4-6+1)*Assumptions!$B$6+INDEX('Lease Comparison'!$I$6:$I$31,$D$4-6+1)-INDEX('Lease Comparison'!$J$6:$J$31,$D$4-6+1)))/(3*((INDEX($F$7:$F$32,$D$4-6+1))-F27)),"n/a"))</f>
        <v>—</v>
      </c>
      <c r="H27" s="15" t="str">
        <f aca="false">IF(OR(ISBLANK(Cars!$E$25),$B27&lt;&gt;"EV"),"—",IFERROR((('Lease Comparison'!N26*48+'Lease Comparison'!$E26*Assumptions!$B$6+'Lease Comparison'!P26-'Lease Comparison'!Q26)-(INDEX('Lease Comparison'!$N$6:$N$31,$D$4-6+1)*48+INDEX('Lease Comparison'!$E$6:$E$31,$D$4-6+1)*Assumptions!$B$6+INDEX('Lease Comparison'!$P$6:$P$31,$D$4-6+1)-INDEX('Lease Comparison'!$Q$6:$Q$31,$D$4-6+1)))/(4*((INDEX($F$7:$F$32,$D$4-6+1))-F27)),"n/a"))</f>
        <v>—</v>
      </c>
      <c r="I27" s="15" t="str">
        <f aca="false">IF(OR(ISBLANK(Cars!$E$25),$B27&lt;&gt;"EV"),"—",IFERROR((('Lease Comparison'!U26*60+'Lease Comparison'!$E26*Assumptions!$B$6+'Lease Comparison'!W26-'Lease Comparison'!X26)-(INDEX('Lease Comparison'!$U$6:$U$31,$D$4-6+1)*60+INDEX('Lease Comparison'!$E$6:$E$31,$D$4-6+1)*Assumptions!$B$6+INDEX('Lease Comparison'!$W$6:$W$31,$D$4-6+1)-INDEX('Lease Comparison'!$X$6:$X$31,$D$4-6+1)))/(5*((INDEX($F$7:$F$32,$D$4-6+1))-F27)),"n/a"))</f>
        <v>—</v>
      </c>
      <c r="J27" s="22" t="str">
        <f aca="false">IF(OR(ISBLANK(Cars!$E$25),$B27&lt;&gt;"EV"),"—",IF(G27="n/a","n/a",IF(G27&lt;=Assumptions!$B$24,"Already cheaper today","Needs "&amp;TEXT(G27-Assumptions!$B$24,"#,##0")&amp;" more km/yr (3yr basis)")))</f>
        <v>—</v>
      </c>
    </row>
    <row r="28" customFormat="false" ht="15" hidden="false" customHeight="false" outlineLevel="0" collapsed="false">
      <c r="A28" s="20" t="n">
        <v>22</v>
      </c>
      <c r="B28" s="37" t="n">
        <f aca="false">'Lease Comparison'!B27</f>
        <v>0</v>
      </c>
      <c r="C28" s="38" t="n">
        <f aca="false">'Lease Comparison'!C27</f>
        <v>0</v>
      </c>
      <c r="D28" s="39" t="n">
        <f aca="false">'Lease Comparison'!D27</f>
        <v>0</v>
      </c>
      <c r="E28" s="40" t="n">
        <f aca="false">'Lease Comparison'!E27</f>
        <v>0</v>
      </c>
      <c r="F28" s="44" t="str">
        <f aca="false">IF(ISBLANK(Cars!$E$26),"",IF($B28="ICE",Assumptions!$B$17*((Assumptions!$B$22/Assumptions!$B$24)/'Lease Comparison'!$F27+(Assumptions!$B$23/Assumptions!$B$24)/('Lease Comparison'!$F27*Assumptions!$B$25)),('Lease Comparison'!$F27/100)*((Assumptions!$B$22/Assumptions!$B$24)*Assumptions!$B$18+(Assumptions!$B$23/Assumptions!$B$24)*Assumptions!$B$26*Assumptions!$B$19)))</f>
        <v/>
      </c>
      <c r="G28" s="15" t="str">
        <f aca="false">IF(OR(ISBLANK(Cars!$E$26),$B28&lt;&gt;"EV"),"—",IFERROR((('Lease Comparison'!G27*36+'Lease Comparison'!$E27*Assumptions!$B$6+'Lease Comparison'!I27-'Lease Comparison'!J27)-(INDEX('Lease Comparison'!$G$6:$G$31,$D$4-6+1)*36+INDEX('Lease Comparison'!$E$6:$E$31,$D$4-6+1)*Assumptions!$B$6+INDEX('Lease Comparison'!$I$6:$I$31,$D$4-6+1)-INDEX('Lease Comparison'!$J$6:$J$31,$D$4-6+1)))/(3*((INDEX($F$7:$F$32,$D$4-6+1))-F28)),"n/a"))</f>
        <v>—</v>
      </c>
      <c r="H28" s="15" t="str">
        <f aca="false">IF(OR(ISBLANK(Cars!$E$26),$B28&lt;&gt;"EV"),"—",IFERROR((('Lease Comparison'!N27*48+'Lease Comparison'!$E27*Assumptions!$B$6+'Lease Comparison'!P27-'Lease Comparison'!Q27)-(INDEX('Lease Comparison'!$N$6:$N$31,$D$4-6+1)*48+INDEX('Lease Comparison'!$E$6:$E$31,$D$4-6+1)*Assumptions!$B$6+INDEX('Lease Comparison'!$P$6:$P$31,$D$4-6+1)-INDEX('Lease Comparison'!$Q$6:$Q$31,$D$4-6+1)))/(4*((INDEX($F$7:$F$32,$D$4-6+1))-F28)),"n/a"))</f>
        <v>—</v>
      </c>
      <c r="I28" s="15" t="str">
        <f aca="false">IF(OR(ISBLANK(Cars!$E$26),$B28&lt;&gt;"EV"),"—",IFERROR((('Lease Comparison'!U27*60+'Lease Comparison'!$E27*Assumptions!$B$6+'Lease Comparison'!W27-'Lease Comparison'!X27)-(INDEX('Lease Comparison'!$U$6:$U$31,$D$4-6+1)*60+INDEX('Lease Comparison'!$E$6:$E$31,$D$4-6+1)*Assumptions!$B$6+INDEX('Lease Comparison'!$W$6:$W$31,$D$4-6+1)-INDEX('Lease Comparison'!$X$6:$X$31,$D$4-6+1)))/(5*((INDEX($F$7:$F$32,$D$4-6+1))-F28)),"n/a"))</f>
        <v>—</v>
      </c>
      <c r="J28" s="22" t="str">
        <f aca="false">IF(OR(ISBLANK(Cars!$E$26),$B28&lt;&gt;"EV"),"—",IF(G28="n/a","n/a",IF(G28&lt;=Assumptions!$B$24,"Already cheaper today","Needs "&amp;TEXT(G28-Assumptions!$B$24,"#,##0")&amp;" more km/yr (3yr basis)")))</f>
        <v>—</v>
      </c>
    </row>
    <row r="29" customFormat="false" ht="15" hidden="false" customHeight="false" outlineLevel="0" collapsed="false">
      <c r="A29" s="20" t="n">
        <v>23</v>
      </c>
      <c r="B29" s="37" t="n">
        <f aca="false">'Lease Comparison'!B28</f>
        <v>0</v>
      </c>
      <c r="C29" s="38" t="n">
        <f aca="false">'Lease Comparison'!C28</f>
        <v>0</v>
      </c>
      <c r="D29" s="39" t="n">
        <f aca="false">'Lease Comparison'!D28</f>
        <v>0</v>
      </c>
      <c r="E29" s="40" t="n">
        <f aca="false">'Lease Comparison'!E28</f>
        <v>0</v>
      </c>
      <c r="F29" s="44" t="str">
        <f aca="false">IF(ISBLANK(Cars!$E$27),"",IF($B29="ICE",Assumptions!$B$17*((Assumptions!$B$22/Assumptions!$B$24)/'Lease Comparison'!$F28+(Assumptions!$B$23/Assumptions!$B$24)/('Lease Comparison'!$F28*Assumptions!$B$25)),('Lease Comparison'!$F28/100)*((Assumptions!$B$22/Assumptions!$B$24)*Assumptions!$B$18+(Assumptions!$B$23/Assumptions!$B$24)*Assumptions!$B$26*Assumptions!$B$19)))</f>
        <v/>
      </c>
      <c r="G29" s="15" t="str">
        <f aca="false">IF(OR(ISBLANK(Cars!$E$27),$B29&lt;&gt;"EV"),"—",IFERROR((('Lease Comparison'!G28*36+'Lease Comparison'!$E28*Assumptions!$B$6+'Lease Comparison'!I28-'Lease Comparison'!J28)-(INDEX('Lease Comparison'!$G$6:$G$31,$D$4-6+1)*36+INDEX('Lease Comparison'!$E$6:$E$31,$D$4-6+1)*Assumptions!$B$6+INDEX('Lease Comparison'!$I$6:$I$31,$D$4-6+1)-INDEX('Lease Comparison'!$J$6:$J$31,$D$4-6+1)))/(3*((INDEX($F$7:$F$32,$D$4-6+1))-F29)),"n/a"))</f>
        <v>—</v>
      </c>
      <c r="H29" s="15" t="str">
        <f aca="false">IF(OR(ISBLANK(Cars!$E$27),$B29&lt;&gt;"EV"),"—",IFERROR((('Lease Comparison'!N28*48+'Lease Comparison'!$E28*Assumptions!$B$6+'Lease Comparison'!P28-'Lease Comparison'!Q28)-(INDEX('Lease Comparison'!$N$6:$N$31,$D$4-6+1)*48+INDEX('Lease Comparison'!$E$6:$E$31,$D$4-6+1)*Assumptions!$B$6+INDEX('Lease Comparison'!$P$6:$P$31,$D$4-6+1)-INDEX('Lease Comparison'!$Q$6:$Q$31,$D$4-6+1)))/(4*((INDEX($F$7:$F$32,$D$4-6+1))-F29)),"n/a"))</f>
        <v>—</v>
      </c>
      <c r="I29" s="15" t="str">
        <f aca="false">IF(OR(ISBLANK(Cars!$E$27),$B29&lt;&gt;"EV"),"—",IFERROR((('Lease Comparison'!U28*60+'Lease Comparison'!$E28*Assumptions!$B$6+'Lease Comparison'!W28-'Lease Comparison'!X28)-(INDEX('Lease Comparison'!$U$6:$U$31,$D$4-6+1)*60+INDEX('Lease Comparison'!$E$6:$E$31,$D$4-6+1)*Assumptions!$B$6+INDEX('Lease Comparison'!$W$6:$W$31,$D$4-6+1)-INDEX('Lease Comparison'!$X$6:$X$31,$D$4-6+1)))/(5*((INDEX($F$7:$F$32,$D$4-6+1))-F29)),"n/a"))</f>
        <v>—</v>
      </c>
      <c r="J29" s="22" t="str">
        <f aca="false">IF(OR(ISBLANK(Cars!$E$27),$B29&lt;&gt;"EV"),"—",IF(G29="n/a","n/a",IF(G29&lt;=Assumptions!$B$24,"Already cheaper today","Needs "&amp;TEXT(G29-Assumptions!$B$24,"#,##0")&amp;" more km/yr (3yr basis)")))</f>
        <v>—</v>
      </c>
    </row>
    <row r="30" customFormat="false" ht="15" hidden="false" customHeight="false" outlineLevel="0" collapsed="false">
      <c r="A30" s="20" t="n">
        <v>24</v>
      </c>
      <c r="B30" s="37" t="n">
        <f aca="false">'Lease Comparison'!B29</f>
        <v>0</v>
      </c>
      <c r="C30" s="38" t="n">
        <f aca="false">'Lease Comparison'!C29</f>
        <v>0</v>
      </c>
      <c r="D30" s="39" t="n">
        <f aca="false">'Lease Comparison'!D29</f>
        <v>0</v>
      </c>
      <c r="E30" s="40" t="n">
        <f aca="false">'Lease Comparison'!E29</f>
        <v>0</v>
      </c>
      <c r="F30" s="44" t="str">
        <f aca="false">IF(ISBLANK(Cars!$E$28),"",IF($B30="ICE",Assumptions!$B$17*((Assumptions!$B$22/Assumptions!$B$24)/'Lease Comparison'!$F29+(Assumptions!$B$23/Assumptions!$B$24)/('Lease Comparison'!$F29*Assumptions!$B$25)),('Lease Comparison'!$F29/100)*((Assumptions!$B$22/Assumptions!$B$24)*Assumptions!$B$18+(Assumptions!$B$23/Assumptions!$B$24)*Assumptions!$B$26*Assumptions!$B$19)))</f>
        <v/>
      </c>
      <c r="G30" s="15" t="str">
        <f aca="false">IF(OR(ISBLANK(Cars!$E$28),$B30&lt;&gt;"EV"),"—",IFERROR((('Lease Comparison'!G29*36+'Lease Comparison'!$E29*Assumptions!$B$6+'Lease Comparison'!I29-'Lease Comparison'!J29)-(INDEX('Lease Comparison'!$G$6:$G$31,$D$4-6+1)*36+INDEX('Lease Comparison'!$E$6:$E$31,$D$4-6+1)*Assumptions!$B$6+INDEX('Lease Comparison'!$I$6:$I$31,$D$4-6+1)-INDEX('Lease Comparison'!$J$6:$J$31,$D$4-6+1)))/(3*((INDEX($F$7:$F$32,$D$4-6+1))-F30)),"n/a"))</f>
        <v>—</v>
      </c>
      <c r="H30" s="15" t="str">
        <f aca="false">IF(OR(ISBLANK(Cars!$E$28),$B30&lt;&gt;"EV"),"—",IFERROR((('Lease Comparison'!N29*48+'Lease Comparison'!$E29*Assumptions!$B$6+'Lease Comparison'!P29-'Lease Comparison'!Q29)-(INDEX('Lease Comparison'!$N$6:$N$31,$D$4-6+1)*48+INDEX('Lease Comparison'!$E$6:$E$31,$D$4-6+1)*Assumptions!$B$6+INDEX('Lease Comparison'!$P$6:$P$31,$D$4-6+1)-INDEX('Lease Comparison'!$Q$6:$Q$31,$D$4-6+1)))/(4*((INDEX($F$7:$F$32,$D$4-6+1))-F30)),"n/a"))</f>
        <v>—</v>
      </c>
      <c r="I30" s="15" t="str">
        <f aca="false">IF(OR(ISBLANK(Cars!$E$28),$B30&lt;&gt;"EV"),"—",IFERROR((('Lease Comparison'!U29*60+'Lease Comparison'!$E29*Assumptions!$B$6+'Lease Comparison'!W29-'Lease Comparison'!X29)-(INDEX('Lease Comparison'!$U$6:$U$31,$D$4-6+1)*60+INDEX('Lease Comparison'!$E$6:$E$31,$D$4-6+1)*Assumptions!$B$6+INDEX('Lease Comparison'!$W$6:$W$31,$D$4-6+1)-INDEX('Lease Comparison'!$X$6:$X$31,$D$4-6+1)))/(5*((INDEX($F$7:$F$32,$D$4-6+1))-F30)),"n/a"))</f>
        <v>—</v>
      </c>
      <c r="J30" s="22" t="str">
        <f aca="false">IF(OR(ISBLANK(Cars!$E$28),$B30&lt;&gt;"EV"),"—",IF(G30="n/a","n/a",IF(G30&lt;=Assumptions!$B$24,"Already cheaper today","Needs "&amp;TEXT(G30-Assumptions!$B$24,"#,##0")&amp;" more km/yr (3yr basis)")))</f>
        <v>—</v>
      </c>
    </row>
    <row r="31" customFormat="false" ht="15" hidden="false" customHeight="false" outlineLevel="0" collapsed="false">
      <c r="A31" s="20" t="n">
        <v>25</v>
      </c>
      <c r="B31" s="37" t="n">
        <f aca="false">'Lease Comparison'!B30</f>
        <v>0</v>
      </c>
      <c r="C31" s="38" t="n">
        <f aca="false">'Lease Comparison'!C30</f>
        <v>0</v>
      </c>
      <c r="D31" s="39" t="n">
        <f aca="false">'Lease Comparison'!D30</f>
        <v>0</v>
      </c>
      <c r="E31" s="40" t="n">
        <f aca="false">'Lease Comparison'!E30</f>
        <v>0</v>
      </c>
      <c r="F31" s="44" t="str">
        <f aca="false">IF(ISBLANK(Cars!$E$29),"",IF($B31="ICE",Assumptions!$B$17*((Assumptions!$B$22/Assumptions!$B$24)/'Lease Comparison'!$F30+(Assumptions!$B$23/Assumptions!$B$24)/('Lease Comparison'!$F30*Assumptions!$B$25)),('Lease Comparison'!$F30/100)*((Assumptions!$B$22/Assumptions!$B$24)*Assumptions!$B$18+(Assumptions!$B$23/Assumptions!$B$24)*Assumptions!$B$26*Assumptions!$B$19)))</f>
        <v/>
      </c>
      <c r="G31" s="15" t="str">
        <f aca="false">IF(OR(ISBLANK(Cars!$E$29),$B31&lt;&gt;"EV"),"—",IFERROR((('Lease Comparison'!G30*36+'Lease Comparison'!$E30*Assumptions!$B$6+'Lease Comparison'!I30-'Lease Comparison'!J30)-(INDEX('Lease Comparison'!$G$6:$G$31,$D$4-6+1)*36+INDEX('Lease Comparison'!$E$6:$E$31,$D$4-6+1)*Assumptions!$B$6+INDEX('Lease Comparison'!$I$6:$I$31,$D$4-6+1)-INDEX('Lease Comparison'!$J$6:$J$31,$D$4-6+1)))/(3*((INDEX($F$7:$F$32,$D$4-6+1))-F31)),"n/a"))</f>
        <v>—</v>
      </c>
      <c r="H31" s="15" t="str">
        <f aca="false">IF(OR(ISBLANK(Cars!$E$29),$B31&lt;&gt;"EV"),"—",IFERROR((('Lease Comparison'!N30*48+'Lease Comparison'!$E30*Assumptions!$B$6+'Lease Comparison'!P30-'Lease Comparison'!Q30)-(INDEX('Lease Comparison'!$N$6:$N$31,$D$4-6+1)*48+INDEX('Lease Comparison'!$E$6:$E$31,$D$4-6+1)*Assumptions!$B$6+INDEX('Lease Comparison'!$P$6:$P$31,$D$4-6+1)-INDEX('Lease Comparison'!$Q$6:$Q$31,$D$4-6+1)))/(4*((INDEX($F$7:$F$32,$D$4-6+1))-F31)),"n/a"))</f>
        <v>—</v>
      </c>
      <c r="I31" s="15" t="str">
        <f aca="false">IF(OR(ISBLANK(Cars!$E$29),$B31&lt;&gt;"EV"),"—",IFERROR((('Lease Comparison'!U30*60+'Lease Comparison'!$E30*Assumptions!$B$6+'Lease Comparison'!W30-'Lease Comparison'!X30)-(INDEX('Lease Comparison'!$U$6:$U$31,$D$4-6+1)*60+INDEX('Lease Comparison'!$E$6:$E$31,$D$4-6+1)*Assumptions!$B$6+INDEX('Lease Comparison'!$W$6:$W$31,$D$4-6+1)-INDEX('Lease Comparison'!$X$6:$X$31,$D$4-6+1)))/(5*((INDEX($F$7:$F$32,$D$4-6+1))-F31)),"n/a"))</f>
        <v>—</v>
      </c>
      <c r="J31" s="22" t="str">
        <f aca="false">IF(OR(ISBLANK(Cars!$E$29),$B31&lt;&gt;"EV"),"—",IF(G31="n/a","n/a",IF(G31&lt;=Assumptions!$B$24,"Already cheaper today","Needs "&amp;TEXT(G31-Assumptions!$B$24,"#,##0")&amp;" more km/yr (3yr basis)")))</f>
        <v>—</v>
      </c>
    </row>
    <row r="32" customFormat="false" ht="15" hidden="false" customHeight="false" outlineLevel="0" collapsed="false">
      <c r="A32" s="20" t="n">
        <v>26</v>
      </c>
      <c r="B32" s="37" t="n">
        <f aca="false">'Lease Comparison'!B31</f>
        <v>0</v>
      </c>
      <c r="C32" s="38" t="n">
        <f aca="false">'Lease Comparison'!C31</f>
        <v>0</v>
      </c>
      <c r="D32" s="39" t="n">
        <f aca="false">'Lease Comparison'!D31</f>
        <v>0</v>
      </c>
      <c r="E32" s="40" t="n">
        <f aca="false">'Lease Comparison'!E31</f>
        <v>0</v>
      </c>
      <c r="F32" s="44" t="str">
        <f aca="false">IF(ISBLANK(Cars!$E$30),"",IF($B32="ICE",Assumptions!$B$17*((Assumptions!$B$22/Assumptions!$B$24)/'Lease Comparison'!$F31+(Assumptions!$B$23/Assumptions!$B$24)/('Lease Comparison'!$F31*Assumptions!$B$25)),('Lease Comparison'!$F31/100)*((Assumptions!$B$22/Assumptions!$B$24)*Assumptions!$B$18+(Assumptions!$B$23/Assumptions!$B$24)*Assumptions!$B$26*Assumptions!$B$19)))</f>
        <v/>
      </c>
      <c r="G32" s="15" t="str">
        <f aca="false">IF(OR(ISBLANK(Cars!$E$30),$B32&lt;&gt;"EV"),"—",IFERROR((('Lease Comparison'!G31*36+'Lease Comparison'!$E31*Assumptions!$B$6+'Lease Comparison'!I31-'Lease Comparison'!J31)-(INDEX('Lease Comparison'!$G$6:$G$31,$D$4-6+1)*36+INDEX('Lease Comparison'!$E$6:$E$31,$D$4-6+1)*Assumptions!$B$6+INDEX('Lease Comparison'!$I$6:$I$31,$D$4-6+1)-INDEX('Lease Comparison'!$J$6:$J$31,$D$4-6+1)))/(3*((INDEX($F$7:$F$32,$D$4-6+1))-F32)),"n/a"))</f>
        <v>—</v>
      </c>
      <c r="H32" s="15" t="str">
        <f aca="false">IF(OR(ISBLANK(Cars!$E$30),$B32&lt;&gt;"EV"),"—",IFERROR((('Lease Comparison'!N31*48+'Lease Comparison'!$E31*Assumptions!$B$6+'Lease Comparison'!P31-'Lease Comparison'!Q31)-(INDEX('Lease Comparison'!$N$6:$N$31,$D$4-6+1)*48+INDEX('Lease Comparison'!$E$6:$E$31,$D$4-6+1)*Assumptions!$B$6+INDEX('Lease Comparison'!$P$6:$P$31,$D$4-6+1)-INDEX('Lease Comparison'!$Q$6:$Q$31,$D$4-6+1)))/(4*((INDEX($F$7:$F$32,$D$4-6+1))-F32)),"n/a"))</f>
        <v>—</v>
      </c>
      <c r="I32" s="15" t="str">
        <f aca="false">IF(OR(ISBLANK(Cars!$E$30),$B32&lt;&gt;"EV"),"—",IFERROR((('Lease Comparison'!U31*60+'Lease Comparison'!$E31*Assumptions!$B$6+'Lease Comparison'!W31-'Lease Comparison'!X31)-(INDEX('Lease Comparison'!$U$6:$U$31,$D$4-6+1)*60+INDEX('Lease Comparison'!$E$6:$E$31,$D$4-6+1)*Assumptions!$B$6+INDEX('Lease Comparison'!$W$6:$W$31,$D$4-6+1)-INDEX('Lease Comparison'!$X$6:$X$31,$D$4-6+1)))/(5*((INDEX($F$7:$F$32,$D$4-6+1))-F32)),"n/a"))</f>
        <v>—</v>
      </c>
      <c r="J32" s="22" t="str">
        <f aca="false">IF(OR(ISBLANK(Cars!$E$30),$B32&lt;&gt;"EV"),"—",IF(G32="n/a","n/a",IF(G32&lt;=Assumptions!$B$24,"Already cheaper today","Needs "&amp;TEXT(G32-Assumptions!$B$24,"#,##0")&amp;" more km/yr (3yr basis)")))</f>
        <v>—</v>
      </c>
    </row>
    <row r="34" customFormat="false" ht="48" hidden="false" customHeight="true" outlineLevel="0" collapsed="false">
      <c r="A34" s="18" t="s">
        <v>142</v>
      </c>
      <c r="B34" s="18"/>
      <c r="C34" s="18"/>
      <c r="D34" s="18"/>
      <c r="E34" s="18"/>
      <c r="F34" s="18"/>
      <c r="G34" s="18"/>
      <c r="H34" s="18"/>
      <c r="I34" s="18"/>
      <c r="J34" s="18"/>
    </row>
  </sheetData>
  <mergeCells count="5">
    <mergeCell ref="A1:J1"/>
    <mergeCell ref="A2:J2"/>
    <mergeCell ref="A4:C4"/>
    <mergeCell ref="E4:J4"/>
    <mergeCell ref="A34:J34"/>
  </mergeCells>
  <conditionalFormatting sqref="G7:I32">
    <cfRule type="cellIs" priority="2" operator="lessThanOrEqual" aboveAverage="0" equalAverage="0" bottom="0" percent="0" rank="0" text="" dxfId="1">
      <formula>Assumptions!$B$24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7" min="5" style="0" width="13"/>
    <col collapsed="false" customWidth="true" hidden="false" outlineLevel="0" max="10" min="8" style="0" width="9"/>
  </cols>
  <sheetData>
    <row r="1" customFormat="false" ht="24" hidden="false" customHeight="true" outlineLevel="0" collapsed="false">
      <c r="A1" s="4" t="s">
        <v>143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5" t="s">
        <v>144</v>
      </c>
      <c r="B2" s="5"/>
      <c r="C2" s="5"/>
      <c r="D2" s="5"/>
      <c r="E2" s="5"/>
      <c r="F2" s="5"/>
      <c r="G2" s="5"/>
      <c r="H2" s="5"/>
      <c r="I2" s="5"/>
      <c r="J2" s="5"/>
    </row>
    <row r="4" customFormat="false" ht="30" hidden="false" customHeight="true" outlineLevel="0" collapsed="false">
      <c r="A4" s="35" t="s">
        <v>64</v>
      </c>
      <c r="B4" s="35" t="s">
        <v>65</v>
      </c>
      <c r="C4" s="35" t="s">
        <v>122</v>
      </c>
      <c r="D4" s="35" t="s">
        <v>68</v>
      </c>
      <c r="E4" s="35" t="s">
        <v>145</v>
      </c>
      <c r="F4" s="35" t="s">
        <v>146</v>
      </c>
      <c r="G4" s="35" t="s">
        <v>147</v>
      </c>
      <c r="H4" s="35" t="s">
        <v>148</v>
      </c>
      <c r="I4" s="35" t="s">
        <v>149</v>
      </c>
      <c r="J4" s="35" t="s">
        <v>150</v>
      </c>
    </row>
    <row r="5" customFormat="false" ht="15" hidden="false" customHeight="false" outlineLevel="0" collapsed="false">
      <c r="A5" s="20" t="n">
        <v>1</v>
      </c>
      <c r="B5" s="37" t="str">
        <f aca="false">'Lease Comparison'!B6</f>
        <v>ICE</v>
      </c>
      <c r="C5" s="38" t="str">
        <f aca="false">'Lease Comparison'!C6</f>
        <v>Tata Nexon</v>
      </c>
      <c r="D5" s="40" t="n">
        <f aca="false">'Lease Comparison'!E6</f>
        <v>1328000</v>
      </c>
      <c r="E5" s="49" t="n">
        <f aca="false">'Lease Comparison'!L6</f>
        <v>1685854.62117676</v>
      </c>
      <c r="F5" s="49" t="n">
        <f aca="false">'Lease Comparison'!S6</f>
        <v>1921316.7580999</v>
      </c>
      <c r="G5" s="49" t="n">
        <f aca="false">'Lease Comparison'!Z6</f>
        <v>2154452.03472345</v>
      </c>
      <c r="H5" s="50" t="n">
        <f aca="false">'Lease Comparison'!AB6</f>
        <v>2</v>
      </c>
      <c r="I5" s="50" t="n">
        <f aca="false">'Lease Comparison'!AC6</f>
        <v>2</v>
      </c>
      <c r="J5" s="50" t="n">
        <f aca="false">'Lease Comparison'!AD6</f>
        <v>3</v>
      </c>
    </row>
    <row r="6" customFormat="false" ht="15" hidden="false" customHeight="false" outlineLevel="0" collapsed="false">
      <c r="A6" s="20" t="n">
        <v>2</v>
      </c>
      <c r="B6" s="37" t="str">
        <f aca="false">'Lease Comparison'!B7</f>
        <v>ICE</v>
      </c>
      <c r="C6" s="38" t="str">
        <f aca="false">'Lease Comparison'!C7</f>
        <v>Hyundai Creta</v>
      </c>
      <c r="D6" s="40" t="n">
        <f aca="false">'Lease Comparison'!E7</f>
        <v>1979000</v>
      </c>
      <c r="E6" s="49" t="n">
        <f aca="false">'Lease Comparison'!L7</f>
        <v>2282879.77056386</v>
      </c>
      <c r="F6" s="49" t="n">
        <f aca="false">'Lease Comparison'!S7</f>
        <v>2557301.64478893</v>
      </c>
      <c r="G6" s="49" t="n">
        <f aca="false">'Lease Comparison'!Z7</f>
        <v>2828256.00656454</v>
      </c>
      <c r="H6" s="50" t="n">
        <f aca="false">'Lease Comparison'!AB7</f>
        <v>13</v>
      </c>
      <c r="I6" s="50" t="n">
        <f aca="false">'Lease Comparison'!AC7</f>
        <v>13</v>
      </c>
      <c r="J6" s="50" t="n">
        <f aca="false">'Lease Comparison'!AD7</f>
        <v>13</v>
      </c>
    </row>
    <row r="7" customFormat="false" ht="15" hidden="false" customHeight="false" outlineLevel="0" collapsed="false">
      <c r="A7" s="20" t="n">
        <v>3</v>
      </c>
      <c r="B7" s="37" t="str">
        <f aca="false">'Lease Comparison'!B8</f>
        <v>ICE</v>
      </c>
      <c r="C7" s="38" t="str">
        <f aca="false">'Lease Comparison'!C8</f>
        <v>Mahindra XUV 3XO</v>
      </c>
      <c r="D7" s="40" t="n">
        <f aca="false">'Lease Comparison'!E8</f>
        <v>1758000</v>
      </c>
      <c r="E7" s="49" t="n">
        <f aca="false">'Lease Comparison'!L8</f>
        <v>2100455.66172107</v>
      </c>
      <c r="F7" s="49" t="n">
        <f aca="false">'Lease Comparison'!S8</f>
        <v>2368402.45009193</v>
      </c>
      <c r="G7" s="49" t="n">
        <f aca="false">'Lease Comparison'!Z8</f>
        <v>2633268.95201197</v>
      </c>
      <c r="H7" s="50" t="n">
        <f aca="false">'Lease Comparison'!AB8</f>
        <v>7</v>
      </c>
      <c r="I7" s="50" t="n">
        <f aca="false">'Lease Comparison'!AC8</f>
        <v>9</v>
      </c>
      <c r="J7" s="50" t="n">
        <f aca="false">'Lease Comparison'!AD8</f>
        <v>11</v>
      </c>
    </row>
    <row r="8" customFormat="false" ht="15" hidden="false" customHeight="false" outlineLevel="0" collapsed="false">
      <c r="A8" s="20" t="n">
        <v>4</v>
      </c>
      <c r="B8" s="37" t="str">
        <f aca="false">'Lease Comparison'!B9</f>
        <v>ICE</v>
      </c>
      <c r="C8" s="38" t="str">
        <f aca="false">'Lease Comparison'!C9</f>
        <v>Mahindra XUV 3XO</v>
      </c>
      <c r="D8" s="40" t="n">
        <f aca="false">'Lease Comparison'!E9</f>
        <v>1785000</v>
      </c>
      <c r="E8" s="49" t="n">
        <f aca="false">'Lease Comparison'!L9</f>
        <v>2104964.44186786</v>
      </c>
      <c r="F8" s="49" t="n">
        <f aca="false">'Lease Comparison'!S9</f>
        <v>2367776.19468498</v>
      </c>
      <c r="G8" s="49" t="n">
        <f aca="false">'Lease Comparison'!Z9</f>
        <v>2627460.35289761</v>
      </c>
      <c r="H8" s="50" t="n">
        <f aca="false">'Lease Comparison'!AB9</f>
        <v>8</v>
      </c>
      <c r="I8" s="50" t="n">
        <f aca="false">'Lease Comparison'!AC9</f>
        <v>8</v>
      </c>
      <c r="J8" s="50" t="n">
        <f aca="false">'Lease Comparison'!AD9</f>
        <v>10</v>
      </c>
    </row>
    <row r="9" customFormat="false" ht="15" hidden="false" customHeight="false" outlineLevel="0" collapsed="false">
      <c r="A9" s="20" t="n">
        <v>5</v>
      </c>
      <c r="B9" s="37" t="str">
        <f aca="false">'Lease Comparison'!B10</f>
        <v>ICE</v>
      </c>
      <c r="C9" s="38" t="str">
        <f aca="false">'Lease Comparison'!C10</f>
        <v>Honda Elevate</v>
      </c>
      <c r="D9" s="40" t="n">
        <f aca="false">'Lease Comparison'!E10</f>
        <v>1865000</v>
      </c>
      <c r="E9" s="49" t="n">
        <f aca="false">'Lease Comparison'!L10</f>
        <v>2143349.76954006</v>
      </c>
      <c r="F9" s="49" t="n">
        <f aca="false">'Lease Comparison'!S10</f>
        <v>2399288.59522769</v>
      </c>
      <c r="G9" s="49" t="n">
        <f aca="false">'Lease Comparison'!Z10</f>
        <v>2651959.65400362</v>
      </c>
      <c r="H9" s="50" t="n">
        <f aca="false">'Lease Comparison'!AB10</f>
        <v>9</v>
      </c>
      <c r="I9" s="50" t="n">
        <f aca="false">'Lease Comparison'!AC10</f>
        <v>10</v>
      </c>
      <c r="J9" s="50" t="n">
        <f aca="false">'Lease Comparison'!AD10</f>
        <v>12</v>
      </c>
    </row>
    <row r="10" customFormat="false" ht="15" hidden="false" customHeight="false" outlineLevel="0" collapsed="false">
      <c r="A10" s="20" t="n">
        <v>6</v>
      </c>
      <c r="B10" s="37" t="str">
        <f aca="false">'Lease Comparison'!B11</f>
        <v>EV</v>
      </c>
      <c r="C10" s="38" t="str">
        <f aca="false">'Lease Comparison'!C11</f>
        <v>Tata Curvv EV</v>
      </c>
      <c r="D10" s="40" t="n">
        <f aca="false">'Lease Comparison'!E11</f>
        <v>1775000</v>
      </c>
      <c r="E10" s="49" t="n">
        <f aca="false">'Lease Comparison'!L11</f>
        <v>1799543.0486361</v>
      </c>
      <c r="F10" s="49" t="n">
        <f aca="false">'Lease Comparison'!S11</f>
        <v>1959550.24992017</v>
      </c>
      <c r="G10" s="49" t="n">
        <f aca="false">'Lease Comparison'!Z11</f>
        <v>2115139.29188814</v>
      </c>
      <c r="H10" s="50" t="n">
        <f aca="false">'Lease Comparison'!AB11</f>
        <v>3</v>
      </c>
      <c r="I10" s="50" t="n">
        <f aca="false">'Lease Comparison'!AC11</f>
        <v>3</v>
      </c>
      <c r="J10" s="50" t="n">
        <f aca="false">'Lease Comparison'!AD11</f>
        <v>2</v>
      </c>
    </row>
    <row r="11" customFormat="false" ht="15" hidden="false" customHeight="false" outlineLevel="0" collapsed="false">
      <c r="A11" s="20" t="n">
        <v>7</v>
      </c>
      <c r="B11" s="37" t="str">
        <f aca="false">'Lease Comparison'!B12</f>
        <v>EV</v>
      </c>
      <c r="C11" s="38" t="str">
        <f aca="false">'Lease Comparison'!C12</f>
        <v>Hyundai Creta Electric</v>
      </c>
      <c r="D11" s="40" t="n">
        <f aca="false">'Lease Comparison'!E12</f>
        <v>2250000</v>
      </c>
      <c r="E11" s="49" t="n">
        <f aca="false">'Lease Comparison'!L12</f>
        <v>2242595.97714436</v>
      </c>
      <c r="F11" s="49" t="n">
        <f aca="false">'Lease Comparison'!S12</f>
        <v>2432583.69708191</v>
      </c>
      <c r="G11" s="49" t="n">
        <f aca="false">'Lease Comparison'!Z12</f>
        <v>2616970.93337934</v>
      </c>
      <c r="H11" s="50" t="n">
        <f aca="false">'Lease Comparison'!AB12</f>
        <v>12</v>
      </c>
      <c r="I11" s="50" t="n">
        <f aca="false">'Lease Comparison'!AC12</f>
        <v>12</v>
      </c>
      <c r="J11" s="50" t="n">
        <f aca="false">'Lease Comparison'!AD12</f>
        <v>9</v>
      </c>
    </row>
    <row r="12" customFormat="false" ht="15" hidden="false" customHeight="false" outlineLevel="0" collapsed="false">
      <c r="A12" s="20" t="n">
        <v>8</v>
      </c>
      <c r="B12" s="37" t="str">
        <f aca="false">'Lease Comparison'!B13</f>
        <v>EV</v>
      </c>
      <c r="C12" s="38" t="str">
        <f aca="false">'Lease Comparison'!C13</f>
        <v>Hyundai Creta Electric</v>
      </c>
      <c r="D12" s="40" t="n">
        <f aca="false">'Lease Comparison'!E13</f>
        <v>2530000</v>
      </c>
      <c r="E12" s="49" t="n">
        <f aca="false">'Lease Comparison'!L13</f>
        <v>2507015.38763343</v>
      </c>
      <c r="F12" s="49" t="n">
        <f aca="false">'Lease Comparison'!S13</f>
        <v>2715759.62382988</v>
      </c>
      <c r="G12" s="49" t="n">
        <f aca="false">'Lease Comparison'!Z13</f>
        <v>2918206.42731099</v>
      </c>
      <c r="H12" s="50" t="n">
        <f aca="false">'Lease Comparison'!AB13</f>
        <v>14</v>
      </c>
      <c r="I12" s="50" t="n">
        <f aca="false">'Lease Comparison'!AC13</f>
        <v>14</v>
      </c>
      <c r="J12" s="50" t="n">
        <f aca="false">'Lease Comparison'!AD13</f>
        <v>14</v>
      </c>
    </row>
    <row r="13" customFormat="false" ht="15" hidden="false" customHeight="false" outlineLevel="0" collapsed="false">
      <c r="A13" s="20" t="n">
        <v>9</v>
      </c>
      <c r="B13" s="37" t="str">
        <f aca="false">'Lease Comparison'!B14</f>
        <v>EV</v>
      </c>
      <c r="C13" s="38" t="str">
        <f aca="false">'Lease Comparison'!C14</f>
        <v>MG Windsor EV</v>
      </c>
      <c r="D13" s="40" t="n">
        <f aca="false">'Lease Comparison'!E14</f>
        <v>1980000</v>
      </c>
      <c r="E13" s="49" t="n">
        <f aca="false">'Lease Comparison'!L14</f>
        <v>1988021.25988703</v>
      </c>
      <c r="F13" s="49" t="n">
        <f aca="false">'Lease Comparison'!S14</f>
        <v>2160056.05343208</v>
      </c>
      <c r="G13" s="49" t="n">
        <f aca="false">'Lease Comparison'!Z14</f>
        <v>2327162.42137382</v>
      </c>
      <c r="H13" s="50" t="n">
        <f aca="false">'Lease Comparison'!AB14</f>
        <v>6</v>
      </c>
      <c r="I13" s="50" t="n">
        <f aca="false">'Lease Comparison'!AC14</f>
        <v>6</v>
      </c>
      <c r="J13" s="50" t="n">
        <f aca="false">'Lease Comparison'!AD14</f>
        <v>6</v>
      </c>
    </row>
    <row r="14" customFormat="false" ht="15" hidden="false" customHeight="false" outlineLevel="0" collapsed="false">
      <c r="A14" s="20" t="n">
        <v>10</v>
      </c>
      <c r="B14" s="37" t="str">
        <f aca="false">'Lease Comparison'!B15</f>
        <v>EV</v>
      </c>
      <c r="C14" s="38" t="str">
        <f aca="false">'Lease Comparison'!C15</f>
        <v>Mahindra XUV 3XO EV</v>
      </c>
      <c r="D14" s="40" t="n">
        <f aca="false">'Lease Comparison'!E15</f>
        <v>1643000</v>
      </c>
      <c r="E14" s="49" t="n">
        <f aca="false">'Lease Comparison'!L15</f>
        <v>1674834.69797697</v>
      </c>
      <c r="F14" s="49" t="n">
        <f aca="false">'Lease Comparison'!S15</f>
        <v>1825981.7130247</v>
      </c>
      <c r="G14" s="49" t="n">
        <f aca="false">'Lease Comparison'!Z15</f>
        <v>1973039.13046322</v>
      </c>
      <c r="H14" s="50" t="n">
        <f aca="false">'Lease Comparison'!AB15</f>
        <v>1</v>
      </c>
      <c r="I14" s="50" t="n">
        <f aca="false">'Lease Comparison'!AC15</f>
        <v>1</v>
      </c>
      <c r="J14" s="50" t="n">
        <f aca="false">'Lease Comparison'!AD15</f>
        <v>1</v>
      </c>
    </row>
    <row r="15" customFormat="false" ht="15" hidden="false" customHeight="false" outlineLevel="0" collapsed="false">
      <c r="A15" s="20" t="n">
        <v>11</v>
      </c>
      <c r="B15" s="37" t="str">
        <f aca="false">'Lease Comparison'!B16</f>
        <v>EV</v>
      </c>
      <c r="C15" s="38" t="str">
        <f aca="false">'Lease Comparison'!C16</f>
        <v>Tata Sierra EV</v>
      </c>
      <c r="D15" s="40" t="n">
        <f aca="false">'Lease Comparison'!E16</f>
        <v>2214000</v>
      </c>
      <c r="E15" s="49" t="n">
        <f aca="false">'Lease Comparison'!L16</f>
        <v>2217731.88151005</v>
      </c>
      <c r="F15" s="49" t="n">
        <f aca="false">'Lease Comparison'!S16</f>
        <v>2408352.2779286</v>
      </c>
      <c r="G15" s="49" t="n">
        <f aca="false">'Lease Comparison'!Z16</f>
        <v>2593461.79844527</v>
      </c>
      <c r="H15" s="50" t="n">
        <f aca="false">'Lease Comparison'!AB16</f>
        <v>11</v>
      </c>
      <c r="I15" s="50" t="n">
        <f aca="false">'Lease Comparison'!AC16</f>
        <v>11</v>
      </c>
      <c r="J15" s="50" t="n">
        <f aca="false">'Lease Comparison'!AD16</f>
        <v>8</v>
      </c>
    </row>
    <row r="16" customFormat="false" ht="15" hidden="false" customHeight="false" outlineLevel="0" collapsed="false">
      <c r="A16" s="20" t="n">
        <v>12</v>
      </c>
      <c r="B16" s="37" t="str">
        <f aca="false">'Lease Comparison'!B17</f>
        <v>EV</v>
      </c>
      <c r="C16" s="38" t="str">
        <f aca="false">'Lease Comparison'!C17</f>
        <v>Tata Nexon EV</v>
      </c>
      <c r="D16" s="40" t="n">
        <f aca="false">'Lease Comparison'!E17</f>
        <v>1946000</v>
      </c>
      <c r="E16" s="49" t="n">
        <f aca="false">'Lease Comparison'!L17</f>
        <v>1960352.50289908</v>
      </c>
      <c r="F16" s="49" t="n">
        <f aca="false">'Lease Comparison'!S17</f>
        <v>2131589.4908984</v>
      </c>
      <c r="G16" s="49" t="n">
        <f aca="false">'Lease Comparison'!Z17</f>
        <v>2297982.68282497</v>
      </c>
      <c r="H16" s="50" t="n">
        <f aca="false">'Lease Comparison'!AB17</f>
        <v>4</v>
      </c>
      <c r="I16" s="50" t="n">
        <f aca="false">'Lease Comparison'!AC17</f>
        <v>4</v>
      </c>
      <c r="J16" s="50" t="n">
        <f aca="false">'Lease Comparison'!AD17</f>
        <v>5</v>
      </c>
    </row>
    <row r="17" customFormat="false" ht="15" hidden="false" customHeight="false" outlineLevel="0" collapsed="false">
      <c r="A17" s="20" t="n">
        <v>13</v>
      </c>
      <c r="B17" s="37" t="str">
        <f aca="false">'Lease Comparison'!B18</f>
        <v>EV</v>
      </c>
      <c r="C17" s="38" t="str">
        <f aca="false">'Lease Comparison'!C18</f>
        <v>Maruti e Vitara</v>
      </c>
      <c r="D17" s="40" t="n">
        <f aca="false">'Lease Comparison'!E18</f>
        <v>2137000</v>
      </c>
      <c r="E17" s="49" t="n">
        <f aca="false">'Lease Comparison'!L18</f>
        <v>2145063.34362555</v>
      </c>
      <c r="F17" s="49" t="n">
        <f aca="false">'Lease Comparison'!S18</f>
        <v>2330541.29807291</v>
      </c>
      <c r="G17" s="49" t="n">
        <f aca="false">'Lease Comparison'!Z18</f>
        <v>2510700.03761406</v>
      </c>
      <c r="H17" s="50" t="n">
        <f aca="false">'Lease Comparison'!AB18</f>
        <v>10</v>
      </c>
      <c r="I17" s="50" t="n">
        <f aca="false">'Lease Comparison'!AC18</f>
        <v>7</v>
      </c>
      <c r="J17" s="50" t="n">
        <f aca="false">'Lease Comparison'!AD18</f>
        <v>7</v>
      </c>
    </row>
    <row r="18" customFormat="false" ht="15" hidden="false" customHeight="false" outlineLevel="0" collapsed="false">
      <c r="A18" s="20" t="n">
        <v>14</v>
      </c>
      <c r="B18" s="37" t="str">
        <f aca="false">'Lease Comparison'!B19</f>
        <v>EV</v>
      </c>
      <c r="C18" s="38" t="str">
        <f aca="false">'Lease Comparison'!C19</f>
        <v>Kia Syros EV</v>
      </c>
      <c r="D18" s="40" t="n">
        <f aca="false">'Lease Comparison'!E19</f>
        <v>1950000</v>
      </c>
      <c r="E18" s="49" t="n">
        <f aca="false">'Lease Comparison'!L19</f>
        <v>1961295.18019178</v>
      </c>
      <c r="F18" s="49" t="n">
        <f aca="false">'Lease Comparison'!S19</f>
        <v>2131855.20413766</v>
      </c>
      <c r="G18" s="49" t="n">
        <f aca="false">'Lease Comparison'!Z19</f>
        <v>2297561.47559543</v>
      </c>
      <c r="H18" s="50" t="n">
        <f aca="false">'Lease Comparison'!AB19</f>
        <v>5</v>
      </c>
      <c r="I18" s="50" t="n">
        <f aca="false">'Lease Comparison'!AC19</f>
        <v>5</v>
      </c>
      <c r="J18" s="50" t="n">
        <f aca="false">'Lease Comparison'!AD19</f>
        <v>4</v>
      </c>
    </row>
    <row r="19" customFormat="false" ht="15" hidden="false" customHeight="false" outlineLevel="0" collapsed="false">
      <c r="A19" s="20" t="n">
        <v>15</v>
      </c>
      <c r="B19" s="37" t="n">
        <f aca="false">'Lease Comparison'!B20</f>
        <v>0</v>
      </c>
      <c r="C19" s="38" t="n">
        <f aca="false">'Lease Comparison'!C20</f>
        <v>0</v>
      </c>
      <c r="D19" s="40" t="n">
        <f aca="false">'Lease Comparison'!E20</f>
        <v>0</v>
      </c>
      <c r="E19" s="49" t="str">
        <f aca="false">'Lease Comparison'!L20</f>
        <v/>
      </c>
      <c r="F19" s="49" t="str">
        <f aca="false">'Lease Comparison'!S20</f>
        <v/>
      </c>
      <c r="G19" s="49" t="str">
        <f aca="false">'Lease Comparison'!Z20</f>
        <v/>
      </c>
      <c r="H19" s="50" t="str">
        <f aca="false">'Lease Comparison'!AB20</f>
        <v/>
      </c>
      <c r="I19" s="50" t="str">
        <f aca="false">'Lease Comparison'!AC20</f>
        <v/>
      </c>
      <c r="J19" s="50" t="str">
        <f aca="false">'Lease Comparison'!AD20</f>
        <v/>
      </c>
    </row>
    <row r="20" customFormat="false" ht="15" hidden="false" customHeight="false" outlineLevel="0" collapsed="false">
      <c r="A20" s="20" t="n">
        <v>16</v>
      </c>
      <c r="B20" s="37" t="n">
        <f aca="false">'Lease Comparison'!B21</f>
        <v>0</v>
      </c>
      <c r="C20" s="38" t="n">
        <f aca="false">'Lease Comparison'!C21</f>
        <v>0</v>
      </c>
      <c r="D20" s="40" t="n">
        <f aca="false">'Lease Comparison'!E21</f>
        <v>0</v>
      </c>
      <c r="E20" s="49" t="str">
        <f aca="false">'Lease Comparison'!L21</f>
        <v/>
      </c>
      <c r="F20" s="49" t="str">
        <f aca="false">'Lease Comparison'!S21</f>
        <v/>
      </c>
      <c r="G20" s="49" t="str">
        <f aca="false">'Lease Comparison'!Z21</f>
        <v/>
      </c>
      <c r="H20" s="50" t="str">
        <f aca="false">'Lease Comparison'!AB21</f>
        <v/>
      </c>
      <c r="I20" s="50" t="str">
        <f aca="false">'Lease Comparison'!AC21</f>
        <v/>
      </c>
      <c r="J20" s="50" t="str">
        <f aca="false">'Lease Comparison'!AD21</f>
        <v/>
      </c>
    </row>
    <row r="21" customFormat="false" ht="15" hidden="false" customHeight="false" outlineLevel="0" collapsed="false">
      <c r="A21" s="20" t="n">
        <v>17</v>
      </c>
      <c r="B21" s="37" t="n">
        <f aca="false">'Lease Comparison'!B22</f>
        <v>0</v>
      </c>
      <c r="C21" s="38" t="n">
        <f aca="false">'Lease Comparison'!C22</f>
        <v>0</v>
      </c>
      <c r="D21" s="40" t="n">
        <f aca="false">'Lease Comparison'!E22</f>
        <v>0</v>
      </c>
      <c r="E21" s="49" t="str">
        <f aca="false">'Lease Comparison'!L22</f>
        <v/>
      </c>
      <c r="F21" s="49" t="str">
        <f aca="false">'Lease Comparison'!S22</f>
        <v/>
      </c>
      <c r="G21" s="49" t="str">
        <f aca="false">'Lease Comparison'!Z22</f>
        <v/>
      </c>
      <c r="H21" s="50" t="str">
        <f aca="false">'Lease Comparison'!AB22</f>
        <v/>
      </c>
      <c r="I21" s="50" t="str">
        <f aca="false">'Lease Comparison'!AC22</f>
        <v/>
      </c>
      <c r="J21" s="50" t="str">
        <f aca="false">'Lease Comparison'!AD22</f>
        <v/>
      </c>
    </row>
    <row r="22" customFormat="false" ht="15" hidden="false" customHeight="false" outlineLevel="0" collapsed="false">
      <c r="A22" s="20" t="n">
        <v>18</v>
      </c>
      <c r="B22" s="37" t="n">
        <f aca="false">'Lease Comparison'!B23</f>
        <v>0</v>
      </c>
      <c r="C22" s="38" t="n">
        <f aca="false">'Lease Comparison'!C23</f>
        <v>0</v>
      </c>
      <c r="D22" s="40" t="n">
        <f aca="false">'Lease Comparison'!E23</f>
        <v>0</v>
      </c>
      <c r="E22" s="49" t="str">
        <f aca="false">'Lease Comparison'!L23</f>
        <v/>
      </c>
      <c r="F22" s="49" t="str">
        <f aca="false">'Lease Comparison'!S23</f>
        <v/>
      </c>
      <c r="G22" s="49" t="str">
        <f aca="false">'Lease Comparison'!Z23</f>
        <v/>
      </c>
      <c r="H22" s="50" t="str">
        <f aca="false">'Lease Comparison'!AB23</f>
        <v/>
      </c>
      <c r="I22" s="50" t="str">
        <f aca="false">'Lease Comparison'!AC23</f>
        <v/>
      </c>
      <c r="J22" s="50" t="str">
        <f aca="false">'Lease Comparison'!AD23</f>
        <v/>
      </c>
    </row>
    <row r="23" customFormat="false" ht="15" hidden="false" customHeight="false" outlineLevel="0" collapsed="false">
      <c r="A23" s="20" t="n">
        <v>19</v>
      </c>
      <c r="B23" s="37" t="n">
        <f aca="false">'Lease Comparison'!B24</f>
        <v>0</v>
      </c>
      <c r="C23" s="38" t="n">
        <f aca="false">'Lease Comparison'!C24</f>
        <v>0</v>
      </c>
      <c r="D23" s="40" t="n">
        <f aca="false">'Lease Comparison'!E24</f>
        <v>0</v>
      </c>
      <c r="E23" s="49" t="str">
        <f aca="false">'Lease Comparison'!L24</f>
        <v/>
      </c>
      <c r="F23" s="49" t="str">
        <f aca="false">'Lease Comparison'!S24</f>
        <v/>
      </c>
      <c r="G23" s="49" t="str">
        <f aca="false">'Lease Comparison'!Z24</f>
        <v/>
      </c>
      <c r="H23" s="50" t="str">
        <f aca="false">'Lease Comparison'!AB24</f>
        <v/>
      </c>
      <c r="I23" s="50" t="str">
        <f aca="false">'Lease Comparison'!AC24</f>
        <v/>
      </c>
      <c r="J23" s="50" t="str">
        <f aca="false">'Lease Comparison'!AD24</f>
        <v/>
      </c>
    </row>
    <row r="24" customFormat="false" ht="15" hidden="false" customHeight="false" outlineLevel="0" collapsed="false">
      <c r="A24" s="20" t="n">
        <v>20</v>
      </c>
      <c r="B24" s="37" t="n">
        <f aca="false">'Lease Comparison'!B25</f>
        <v>0</v>
      </c>
      <c r="C24" s="38" t="n">
        <f aca="false">'Lease Comparison'!C25</f>
        <v>0</v>
      </c>
      <c r="D24" s="40" t="n">
        <f aca="false">'Lease Comparison'!E25</f>
        <v>0</v>
      </c>
      <c r="E24" s="49" t="str">
        <f aca="false">'Lease Comparison'!L25</f>
        <v/>
      </c>
      <c r="F24" s="49" t="str">
        <f aca="false">'Lease Comparison'!S25</f>
        <v/>
      </c>
      <c r="G24" s="49" t="str">
        <f aca="false">'Lease Comparison'!Z25</f>
        <v/>
      </c>
      <c r="H24" s="50" t="str">
        <f aca="false">'Lease Comparison'!AB25</f>
        <v/>
      </c>
      <c r="I24" s="50" t="str">
        <f aca="false">'Lease Comparison'!AC25</f>
        <v/>
      </c>
      <c r="J24" s="50" t="str">
        <f aca="false">'Lease Comparison'!AD25</f>
        <v/>
      </c>
    </row>
    <row r="25" customFormat="false" ht="15" hidden="false" customHeight="false" outlineLevel="0" collapsed="false">
      <c r="A25" s="20" t="n">
        <v>21</v>
      </c>
      <c r="B25" s="37" t="n">
        <f aca="false">'Lease Comparison'!B26</f>
        <v>0</v>
      </c>
      <c r="C25" s="38" t="n">
        <f aca="false">'Lease Comparison'!C26</f>
        <v>0</v>
      </c>
      <c r="D25" s="40" t="n">
        <f aca="false">'Lease Comparison'!E26</f>
        <v>0</v>
      </c>
      <c r="E25" s="49" t="str">
        <f aca="false">'Lease Comparison'!L26</f>
        <v/>
      </c>
      <c r="F25" s="49" t="str">
        <f aca="false">'Lease Comparison'!S26</f>
        <v/>
      </c>
      <c r="G25" s="49" t="str">
        <f aca="false">'Lease Comparison'!Z26</f>
        <v/>
      </c>
      <c r="H25" s="50" t="str">
        <f aca="false">'Lease Comparison'!AB26</f>
        <v/>
      </c>
      <c r="I25" s="50" t="str">
        <f aca="false">'Lease Comparison'!AC26</f>
        <v/>
      </c>
      <c r="J25" s="50" t="str">
        <f aca="false">'Lease Comparison'!AD26</f>
        <v/>
      </c>
    </row>
    <row r="26" customFormat="false" ht="15" hidden="false" customHeight="false" outlineLevel="0" collapsed="false">
      <c r="A26" s="20" t="n">
        <v>22</v>
      </c>
      <c r="B26" s="37" t="n">
        <f aca="false">'Lease Comparison'!B27</f>
        <v>0</v>
      </c>
      <c r="C26" s="38" t="n">
        <f aca="false">'Lease Comparison'!C27</f>
        <v>0</v>
      </c>
      <c r="D26" s="40" t="n">
        <f aca="false">'Lease Comparison'!E27</f>
        <v>0</v>
      </c>
      <c r="E26" s="49" t="str">
        <f aca="false">'Lease Comparison'!L27</f>
        <v/>
      </c>
      <c r="F26" s="49" t="str">
        <f aca="false">'Lease Comparison'!S27</f>
        <v/>
      </c>
      <c r="G26" s="49" t="str">
        <f aca="false">'Lease Comparison'!Z27</f>
        <v/>
      </c>
      <c r="H26" s="50" t="str">
        <f aca="false">'Lease Comparison'!AB27</f>
        <v/>
      </c>
      <c r="I26" s="50" t="str">
        <f aca="false">'Lease Comparison'!AC27</f>
        <v/>
      </c>
      <c r="J26" s="50" t="str">
        <f aca="false">'Lease Comparison'!AD27</f>
        <v/>
      </c>
    </row>
    <row r="27" customFormat="false" ht="15" hidden="false" customHeight="false" outlineLevel="0" collapsed="false">
      <c r="A27" s="20" t="n">
        <v>23</v>
      </c>
      <c r="B27" s="37" t="n">
        <f aca="false">'Lease Comparison'!B28</f>
        <v>0</v>
      </c>
      <c r="C27" s="38" t="n">
        <f aca="false">'Lease Comparison'!C28</f>
        <v>0</v>
      </c>
      <c r="D27" s="40" t="n">
        <f aca="false">'Lease Comparison'!E28</f>
        <v>0</v>
      </c>
      <c r="E27" s="49" t="str">
        <f aca="false">'Lease Comparison'!L28</f>
        <v/>
      </c>
      <c r="F27" s="49" t="str">
        <f aca="false">'Lease Comparison'!S28</f>
        <v/>
      </c>
      <c r="G27" s="49" t="str">
        <f aca="false">'Lease Comparison'!Z28</f>
        <v/>
      </c>
      <c r="H27" s="50" t="str">
        <f aca="false">'Lease Comparison'!AB28</f>
        <v/>
      </c>
      <c r="I27" s="50" t="str">
        <f aca="false">'Lease Comparison'!AC28</f>
        <v/>
      </c>
      <c r="J27" s="50" t="str">
        <f aca="false">'Lease Comparison'!AD28</f>
        <v/>
      </c>
    </row>
    <row r="28" customFormat="false" ht="15" hidden="false" customHeight="false" outlineLevel="0" collapsed="false">
      <c r="A28" s="20" t="n">
        <v>24</v>
      </c>
      <c r="B28" s="37" t="n">
        <f aca="false">'Lease Comparison'!B29</f>
        <v>0</v>
      </c>
      <c r="C28" s="38" t="n">
        <f aca="false">'Lease Comparison'!C29</f>
        <v>0</v>
      </c>
      <c r="D28" s="40" t="n">
        <f aca="false">'Lease Comparison'!E29</f>
        <v>0</v>
      </c>
      <c r="E28" s="49" t="str">
        <f aca="false">'Lease Comparison'!L29</f>
        <v/>
      </c>
      <c r="F28" s="49" t="str">
        <f aca="false">'Lease Comparison'!S29</f>
        <v/>
      </c>
      <c r="G28" s="49" t="str">
        <f aca="false">'Lease Comparison'!Z29</f>
        <v/>
      </c>
      <c r="H28" s="50" t="str">
        <f aca="false">'Lease Comparison'!AB29</f>
        <v/>
      </c>
      <c r="I28" s="50" t="str">
        <f aca="false">'Lease Comparison'!AC29</f>
        <v/>
      </c>
      <c r="J28" s="50" t="str">
        <f aca="false">'Lease Comparison'!AD29</f>
        <v/>
      </c>
    </row>
    <row r="29" customFormat="false" ht="15" hidden="false" customHeight="false" outlineLevel="0" collapsed="false">
      <c r="A29" s="20" t="n">
        <v>25</v>
      </c>
      <c r="B29" s="37" t="n">
        <f aca="false">'Lease Comparison'!B30</f>
        <v>0</v>
      </c>
      <c r="C29" s="38" t="n">
        <f aca="false">'Lease Comparison'!C30</f>
        <v>0</v>
      </c>
      <c r="D29" s="40" t="n">
        <f aca="false">'Lease Comparison'!E30</f>
        <v>0</v>
      </c>
      <c r="E29" s="49" t="str">
        <f aca="false">'Lease Comparison'!L30</f>
        <v/>
      </c>
      <c r="F29" s="49" t="str">
        <f aca="false">'Lease Comparison'!S30</f>
        <v/>
      </c>
      <c r="G29" s="49" t="str">
        <f aca="false">'Lease Comparison'!Z30</f>
        <v/>
      </c>
      <c r="H29" s="50" t="str">
        <f aca="false">'Lease Comparison'!AB30</f>
        <v/>
      </c>
      <c r="I29" s="50" t="str">
        <f aca="false">'Lease Comparison'!AC30</f>
        <v/>
      </c>
      <c r="J29" s="50" t="str">
        <f aca="false">'Lease Comparison'!AD30</f>
        <v/>
      </c>
    </row>
    <row r="30" customFormat="false" ht="15" hidden="false" customHeight="false" outlineLevel="0" collapsed="false">
      <c r="A30" s="20" t="n">
        <v>26</v>
      </c>
      <c r="B30" s="37" t="n">
        <f aca="false">'Lease Comparison'!B31</f>
        <v>0</v>
      </c>
      <c r="C30" s="38" t="n">
        <f aca="false">'Lease Comparison'!C31</f>
        <v>0</v>
      </c>
      <c r="D30" s="40" t="n">
        <f aca="false">'Lease Comparison'!E31</f>
        <v>0</v>
      </c>
      <c r="E30" s="49" t="str">
        <f aca="false">'Lease Comparison'!L31</f>
        <v/>
      </c>
      <c r="F30" s="49" t="str">
        <f aca="false">'Lease Comparison'!S31</f>
        <v/>
      </c>
      <c r="G30" s="49" t="str">
        <f aca="false">'Lease Comparison'!Z31</f>
        <v/>
      </c>
      <c r="H30" s="50" t="str">
        <f aca="false">'Lease Comparison'!AB31</f>
        <v/>
      </c>
      <c r="I30" s="50" t="str">
        <f aca="false">'Lease Comparison'!AC31</f>
        <v/>
      </c>
      <c r="J30" s="50" t="str">
        <f aca="false">'Lease Comparison'!AD31</f>
        <v/>
      </c>
    </row>
  </sheetData>
  <mergeCells count="2">
    <mergeCell ref="A1:J1"/>
    <mergeCell ref="A2:J2"/>
  </mergeCells>
  <conditionalFormatting sqref="E5:E30">
    <cfRule type="colorScale" priority="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F5:F30">
    <cfRule type="colorScale" priority="3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G5:G30">
    <cfRule type="colorScale" priority="4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2026-08-07T07:00:46Z</dcterms:created>
  <dc:creator>openpyxl</dc:creator>
  <dc:description/>
  <dc:language>en-US</dc:language>
  <cp:lastModifiedBy/>
  <dcterms:modified xsi:type="dcterms:W3CDTF">2026-08-07T07:00:46Z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